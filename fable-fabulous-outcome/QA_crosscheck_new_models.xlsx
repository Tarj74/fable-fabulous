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ekly" sheetId="2" state="visible" r:id="rId2"/>
    <sheet xmlns:r="http://schemas.openxmlformats.org/officeDocument/2006/relationships" name="City Working" sheetId="3" state="visible" r:id="rId3"/>
    <sheet xmlns:r="http://schemas.openxmlformats.org/officeDocument/2006/relationships" name="Devices" sheetId="4" state="visible" r:id="rId4"/>
    <sheet xmlns:r="http://schemas.openxmlformats.org/officeDocument/2006/relationships" name="Prod Working" sheetId="5" state="visible" r:id="rId5"/>
    <sheet xmlns:r="http://schemas.openxmlformats.org/officeDocument/2006/relationships" name="Chann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10"/>
    </font>
    <font>
      <name val="Arial"/>
      <b val="1"/>
      <color rgb="001F3864"/>
      <sz val="14"/>
    </font>
    <font>
      <name val="Arial"/>
      <b val="1"/>
      <sz val="11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3" fillId="2" borderId="1" pivotButton="0" quotePrefix="0" xfId="0"/>
    <xf numFmtId="0" fontId="5" fillId="0" borderId="1" pivotButton="0" quotePrefix="0" xfId="0"/>
    <xf numFmtId="0" fontId="8" fillId="0" borderId="0" pivotButton="0" quotePrefix="0" xfId="0"/>
    <xf numFmtId="0" fontId="0" fillId="0" borderId="1" pivotButton="0" quotePrefix="0" xfId="0"/>
    <xf numFmtId="0" fontId="8" fillId="0" borderId="1" pivotButton="0" quotePrefix="0" xfId="0"/>
    <xf numFmtId="0" fontId="8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pivotButton="0" quotePrefix="0" xfId="0"/>
    <xf numFmtId="164" fontId="5" fillId="0" borderId="1" pivotButton="0" quotePrefix="0" xfId="0"/>
    <xf numFmtId="0" fontId="5" fillId="4" borderId="1" pivotButton="0" quotePrefix="0" xfId="0"/>
    <xf numFmtId="164" fontId="5" fillId="4" borderId="1" pivotButton="0" quotePrefix="0" xfId="0"/>
    <xf numFmtId="0" fontId="5" fillId="0" borderId="1" applyAlignment="1" pivotButton="0" quotePrefix="0" xfId="0">
      <alignment vertical="top" wrapText="1"/>
    </xf>
    <xf numFmtId="0" fontId="5" fillId="5" borderId="1" pivotButton="0" quotePrefix="0" xfId="0"/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7" customWidth="1" min="3" max="3"/>
    <col width="10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QA Cross-Check: old-pipeline QA values vs newly designed models</t>
        </is>
      </c>
    </row>
    <row r="2">
      <c r="A2" s="2" t="inlineStr">
        <is>
          <t>Source: QA_sheet_apeak.xlsx (QA of the old logic). New values: fable-fabulous-outcome models, computed read-only in BigQuery at the exact QA scopes. GA4 UI numbers ignored as instructed.</t>
        </is>
      </c>
    </row>
    <row r="4">
      <c r="A4" s="3" t="inlineStr">
        <is>
          <t>Scoreboard (vs Old Gold Mart values)</t>
        </is>
      </c>
    </row>
    <row r="5">
      <c r="A5" s="4" t="inlineStr">
        <is>
          <t>QA Tab</t>
        </is>
      </c>
      <c r="B5" s="4" t="inlineStr">
        <is>
          <t>Scope</t>
        </is>
      </c>
      <c r="C5" s="4" t="inlineStr">
        <is>
          <t>Metrics compared</t>
        </is>
      </c>
      <c r="D5" s="4" t="inlineStr">
        <is>
          <t>Match</t>
        </is>
      </c>
      <c r="E5" s="4" t="inlineStr">
        <is>
          <t>Differ (all explained)</t>
        </is>
      </c>
    </row>
    <row r="6">
      <c r="A6" s="5" t="inlineStr">
        <is>
          <t>Weekly</t>
        </is>
      </c>
      <c r="B6" s="5" t="inlineStr">
        <is>
          <t>Week 18-24 May (revenue rows: 16-22 Mar)</t>
        </is>
      </c>
      <c r="C6" s="5">
        <f>COUNTIF('Weekly'!G:G,"MATCH")+COUNTIF('Weekly'!G:G,"DIFF")</f>
        <v/>
      </c>
      <c r="D6" s="5">
        <f>COUNTIF('Weekly'!G:G,"MATCH")</f>
        <v/>
      </c>
      <c r="E6" s="5">
        <f>COUNTIF('Weekly'!G:G,"DIFF")</f>
        <v/>
      </c>
    </row>
    <row r="7">
      <c r="A7" s="5" t="inlineStr">
        <is>
          <t>City Working</t>
        </is>
      </c>
      <c r="B7" s="5" t="inlineStr">
        <is>
          <t>Ahmedabad May; (not set) March</t>
        </is>
      </c>
      <c r="C7" s="5">
        <f>COUNTIF('City Working'!G:G,"MATCH")+COUNTIF('City Working'!G:G,"DIFF")</f>
        <v/>
      </c>
      <c r="D7" s="5">
        <f>COUNTIF('City Working'!G:G,"MATCH")</f>
        <v/>
      </c>
      <c r="E7" s="5">
        <f>COUNTIF('City Working'!G:G,"DIFF")</f>
        <v/>
      </c>
    </row>
    <row r="8">
      <c r="A8" s="5" t="inlineStr">
        <is>
          <t>Devices</t>
        </is>
      </c>
      <c r="B8" s="5" t="inlineStr">
        <is>
          <t>Desktop / Mobile / Total, May</t>
        </is>
      </c>
      <c r="C8" s="5">
        <f>COUNTIF('Devices'!G:G,"MATCH")+COUNTIF('Devices'!G:G,"DIFF")</f>
        <v/>
      </c>
      <c r="D8" s="5">
        <f>COUNTIF('Devices'!G:G,"MATCH")</f>
        <v/>
      </c>
      <c r="E8" s="5">
        <f>COUNTIF('Devices'!G:G,"DIFF")</f>
        <v/>
      </c>
    </row>
    <row r="9">
      <c r="A9" s="5" t="inlineStr">
        <is>
          <t>Prod Working</t>
        </is>
      </c>
      <c r="B9" s="5" t="inlineStr">
        <is>
          <t>SKU_102 &amp; SKU_103, March</t>
        </is>
      </c>
      <c r="C9" s="5">
        <f>COUNTIF('Prod Working'!G:G,"MATCH")+COUNTIF('Prod Working'!G:G,"DIFF")</f>
        <v/>
      </c>
      <c r="D9" s="5">
        <f>COUNTIF('Prod Working'!G:G,"MATCH")</f>
        <v/>
      </c>
      <c r="E9" s="5">
        <f>COUNTIF('Prod Working'!G:G,"DIFF")</f>
        <v/>
      </c>
    </row>
    <row r="10">
      <c r="A10" s="5" t="inlineStr">
        <is>
          <t>Channel</t>
        </is>
      </c>
      <c r="B10" s="5" t="inlineStr">
        <is>
          <t>Direct / Referral / Organic / Unassigned, May</t>
        </is>
      </c>
      <c r="C10" s="5">
        <f>COUNTIF('Channel'!G:G,"MATCH")+COUNTIF('Channel'!G:G,"DIFF")</f>
        <v/>
      </c>
      <c r="D10" s="5">
        <f>COUNTIF('Channel'!G:G,"MATCH")</f>
        <v/>
      </c>
      <c r="E10" s="5">
        <f>COUNTIF('Channel'!G:G,"DIFF")</f>
        <v/>
      </c>
    </row>
    <row r="11">
      <c r="A11" s="6" t="inlineStr">
        <is>
          <t>Total</t>
        </is>
      </c>
      <c r="B11" s="7" t="n"/>
      <c r="C11" s="8">
        <f>SUM(C6:C10)</f>
        <v/>
      </c>
      <c r="D11" s="8">
        <f>SUM(D6:D10)</f>
        <v/>
      </c>
      <c r="E11" s="8">
        <f>SUM(E6:E10)</f>
        <v/>
      </c>
    </row>
    <row r="13">
      <c r="A13" s="3" t="inlineStr">
        <is>
          <t>Findings</t>
        </is>
      </c>
    </row>
    <row r="14" ht="13" customHeight="1">
      <c r="A14" s="9" t="inlineStr">
        <is>
          <t>Orders, quantity and revenue now reconcile with the raw tables and the old gold values everywhere.</t>
        </is>
      </c>
    </row>
    <row r="15" ht="42" customHeight="1">
      <c r="A15" s="10" t="inlineStr">
        <is>
          <t>Counting convention: orders = distinct transaction ids among the period's purchase events, revenue/quantity = the sums those events reported. That is how GA4's own reports and the raw QA queries count, so gold reconciles with both by construction. The duplicate-id defects this property carries (re-fired ids, one id with two payloads) no longer change any number - they surface in the assert_transaction_revenue_consistency quality check instead, where the team can see and chase them.</t>
        </is>
      </c>
    </row>
    <row r="16" ht="13" customHeight="1">
      <c r="A16" s="9" t="inlineStr">
        <is>
          <t>Remaining differences are deliberate and few:</t>
        </is>
      </c>
    </row>
    <row r="17" ht="42" customHeight="1">
      <c r="A17" s="10" t="inlineStr">
        <is>
          <t>1. Flag-method bounce (7 rows): the old read missed int-typed session_engaged values (1,939 events), inflating bounce. The new figure recovers them; City B's impossible 101.56% becomes a clean 100%.</t>
        </is>
      </c>
    </row>
    <row r="18" ht="42" customHeight="1">
      <c r="A18" s="10" t="inlineStr">
        <is>
          <t>2. Session attribution (5 rows): sessions are built whole and assigned to one period/city/device. Old per-window rebuilding double-counted (Desktop 934 + Mobile 31 = 965 vs their own 949 total) and clipped sessions at month edges (the small 3-condition bounce deltas). New rows sum exactly to totals.</t>
        </is>
      </c>
    </row>
    <row r="19" ht="42" customHeight="1">
      <c r="A19" s="10" t="inlineStr">
        <is>
          <t>3. Weekly New Visitors (1 row vs raw only): the raw query counted 189 first_visit events; one user fired it twice - 188 distinct new users, which both the old and new gold report.</t>
        </is>
      </c>
    </row>
    <row r="20" ht="42" customHeight="1">
      <c r="A20" s="10" t="inlineStr">
        <is>
          <t>Reading the tabs: green = matches old gold to 2 decimals; amber = differs, with the explanation in the last column. QA cells stored as fractions (e.g. 0.378) were normalised to percent before comparing; each such row says so in its note.</t>
        </is>
      </c>
    </row>
  </sheetData>
  <mergeCells count="7">
    <mergeCell ref="A18:H18"/>
    <mergeCell ref="A15:H15"/>
    <mergeCell ref="A20:H20"/>
    <mergeCell ref="A16:H16"/>
    <mergeCell ref="A19:H19"/>
    <mergeCell ref="A14:H14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15" customWidth="1" min="4" max="4"/>
    <col width="14" customWidth="1" min="5" max="5"/>
    <col width="11" customWidth="1" min="6" max="6"/>
    <col width="13" customWidth="1" min="7" max="7"/>
    <col width="13" customWidth="1" min="8" max="8"/>
    <col width="88" customWidth="1" min="9" max="9"/>
  </cols>
  <sheetData>
    <row r="1">
      <c r="A1" s="11" t="inlineStr">
        <is>
          <t>Weekly - QA cross-check (old logic vs new gold_weekly_performance)</t>
        </is>
      </c>
    </row>
    <row r="2">
      <c r="A2" s="2" t="inlineStr">
        <is>
          <t>New model values computed in BigQuery from the fable-fabulous-outcome models (read-only, full dependency chain inlined). GA4 UI column ignored as instructed.</t>
        </is>
      </c>
    </row>
    <row r="4">
      <c r="A4" s="12" t="inlineStr">
        <is>
          <t>Metric</t>
        </is>
      </c>
      <c r="B4" s="12" t="inlineStr">
        <is>
          <t>Scope</t>
        </is>
      </c>
      <c r="C4" s="12" t="inlineStr">
        <is>
          <t>QA: Raw Events</t>
        </is>
      </c>
      <c r="D4" s="12" t="inlineStr">
        <is>
          <t>QA: Old Gold Mart</t>
        </is>
      </c>
      <c r="E4" s="12" t="inlineStr">
        <is>
          <t>New Model Value</t>
        </is>
      </c>
      <c r="F4" s="12" t="inlineStr">
        <is>
          <t>Match vs Raw</t>
        </is>
      </c>
      <c r="G4" s="12" t="inlineStr">
        <is>
          <t>Match vs Old Gold</t>
        </is>
      </c>
      <c r="H4" s="12" t="inlineStr">
        <is>
          <t>Delta (New - Old Gold)</t>
        </is>
      </c>
      <c r="I4" s="12" t="inlineStr">
        <is>
          <t>Explanation of difference</t>
        </is>
      </c>
    </row>
    <row r="5">
      <c r="A5" s="13" t="inlineStr">
        <is>
          <t>1. Audience &amp; Traffic (users)</t>
        </is>
      </c>
      <c r="B5" s="13" t="inlineStr">
        <is>
          <t>Week 2026-05-18 to 2026-05-24</t>
        </is>
      </c>
      <c r="C5" s="13" t="n"/>
      <c r="D5" s="13" t="n"/>
      <c r="E5" s="13" t="n"/>
      <c r="F5" s="13" t="n"/>
      <c r="G5" s="13" t="n"/>
      <c r="H5" s="13" t="n"/>
      <c r="I5" s="13" t="n"/>
    </row>
    <row r="6">
      <c r="A6" s="5" t="inlineStr">
        <is>
          <t>New Visitors (New Users)</t>
        </is>
      </c>
      <c r="B6" s="5" t="inlineStr"/>
      <c r="C6" s="14" t="n">
        <v>189</v>
      </c>
      <c r="D6" s="14" t="n">
        <v>188</v>
      </c>
      <c r="E6" s="14" t="n">
        <v>188</v>
      </c>
      <c r="F6" s="15">
        <f>IF(ROUND(E6-C6,2)=0,"MATCH","DIFF")</f>
        <v/>
      </c>
      <c r="G6" s="15">
        <f>IF(ROUND(E6-D6,2)=0,"MATCH","DIFF")</f>
        <v/>
      </c>
      <c r="H6" s="16">
        <f>ROUND(E6-D6,2)</f>
        <v/>
      </c>
      <c r="I6" s="17" t="inlineStr">
        <is>
          <t>Matches old gold. The raw figure counted 189 first_visit events; one user fired it twice, 188 distinct new users.</t>
        </is>
      </c>
    </row>
    <row r="7">
      <c r="A7" s="5" t="inlineStr">
        <is>
          <t>Returning Visitors</t>
        </is>
      </c>
      <c r="B7" s="5" t="inlineStr"/>
      <c r="C7" s="14" t="n">
        <v>16</v>
      </c>
      <c r="D7" s="14" t="n">
        <v>16</v>
      </c>
      <c r="E7" s="14" t="n">
        <v>16</v>
      </c>
      <c r="F7" s="15">
        <f>IF(ROUND(E7-C7,2)=0,"MATCH","DIFF")</f>
        <v/>
      </c>
      <c r="G7" s="15">
        <f>IF(ROUND(E7-D7,2)=0,"MATCH","DIFF")</f>
        <v/>
      </c>
      <c r="H7" s="16">
        <f>ROUND(E7-D7,2)</f>
        <v/>
      </c>
      <c r="I7" s="17" t="inlineStr"/>
    </row>
    <row r="8">
      <c r="A8" s="5" t="inlineStr">
        <is>
          <t>Total Visitors (Unique Users)</t>
        </is>
      </c>
      <c r="B8" s="5" t="inlineStr"/>
      <c r="C8" s="14" t="n">
        <v>204</v>
      </c>
      <c r="D8" s="14" t="n">
        <v>204</v>
      </c>
      <c r="E8" s="14" t="n">
        <v>204</v>
      </c>
      <c r="F8" s="15">
        <f>IF(ROUND(E8-C8,2)=0,"MATCH","DIFF")</f>
        <v/>
      </c>
      <c r="G8" s="15">
        <f>IF(ROUND(E8-D8,2)=0,"MATCH","DIFF")</f>
        <v/>
      </c>
      <c r="H8" s="16">
        <f>ROUND(E8-D8,2)</f>
        <v/>
      </c>
      <c r="I8" s="17" t="inlineStr"/>
    </row>
    <row r="9">
      <c r="A9" s="13" t="inlineStr">
        <is>
          <t>2. Funnel: New Users</t>
        </is>
      </c>
      <c r="B9" s="13" t="inlineStr">
        <is>
          <t>Week 2026-05-18 to 2026-05-24</t>
        </is>
      </c>
      <c r="C9" s="13" t="n"/>
      <c r="D9" s="13" t="n"/>
      <c r="E9" s="13" t="n"/>
      <c r="F9" s="13" t="n"/>
      <c r="G9" s="13" t="n"/>
      <c r="H9" s="13" t="n"/>
      <c r="I9" s="13" t="n"/>
    </row>
    <row r="10">
      <c r="A10" s="5" t="inlineStr">
        <is>
          <t>Product View (New Users)</t>
        </is>
      </c>
      <c r="B10" s="5" t="inlineStr"/>
      <c r="C10" s="14" t="n">
        <v>124</v>
      </c>
      <c r="D10" s="14" t="n">
        <v>124</v>
      </c>
      <c r="E10" s="14" t="n">
        <v>124</v>
      </c>
      <c r="F10" s="15">
        <f>IF(ROUND(E10-C10,2)=0,"MATCH","DIFF")</f>
        <v/>
      </c>
      <c r="G10" s="15">
        <f>IF(ROUND(E10-D10,2)=0,"MATCH","DIFF")</f>
        <v/>
      </c>
      <c r="H10" s="16">
        <f>ROUND(E10-D10,2)</f>
        <v/>
      </c>
      <c r="I10" s="17" t="inlineStr"/>
    </row>
    <row r="11">
      <c r="A11" s="5" t="inlineStr">
        <is>
          <t>Add to Wishlist (New Users)</t>
        </is>
      </c>
      <c r="B11" s="5" t="inlineStr"/>
      <c r="C11" s="14" t="n">
        <v>2</v>
      </c>
      <c r="D11" s="14" t="n">
        <v>2</v>
      </c>
      <c r="E11" s="14" t="n">
        <v>2</v>
      </c>
      <c r="F11" s="15">
        <f>IF(ROUND(E11-C11,2)=0,"MATCH","DIFF")</f>
        <v/>
      </c>
      <c r="G11" s="15">
        <f>IF(ROUND(E11-D11,2)=0,"MATCH","DIFF")</f>
        <v/>
      </c>
      <c r="H11" s="16">
        <f>ROUND(E11-D11,2)</f>
        <v/>
      </c>
      <c r="I11" s="17" t="inlineStr"/>
    </row>
    <row r="12">
      <c r="A12" s="5" t="inlineStr">
        <is>
          <t>Add to Cart (New Users)</t>
        </is>
      </c>
      <c r="B12" s="5" t="inlineStr"/>
      <c r="C12" s="14" t="n">
        <v>28</v>
      </c>
      <c r="D12" s="14" t="n">
        <v>28</v>
      </c>
      <c r="E12" s="14" t="n">
        <v>28</v>
      </c>
      <c r="F12" s="15">
        <f>IF(ROUND(E12-C12,2)=0,"MATCH","DIFF")</f>
        <v/>
      </c>
      <c r="G12" s="15">
        <f>IF(ROUND(E12-D12,2)=0,"MATCH","DIFF")</f>
        <v/>
      </c>
      <c r="H12" s="16">
        <f>ROUND(E12-D12,2)</f>
        <v/>
      </c>
      <c r="I12" s="17" t="inlineStr"/>
    </row>
    <row r="13">
      <c r="A13" s="5" t="inlineStr">
        <is>
          <t>Orders (New Users)</t>
        </is>
      </c>
      <c r="B13" s="5" t="inlineStr"/>
      <c r="C13" s="14" t="n">
        <v>4</v>
      </c>
      <c r="D13" s="14" t="n">
        <v>4</v>
      </c>
      <c r="E13" s="14" t="n">
        <v>4</v>
      </c>
      <c r="F13" s="15">
        <f>IF(ROUND(E13-C13,2)=0,"MATCH","DIFF")</f>
        <v/>
      </c>
      <c r="G13" s="15">
        <f>IF(ROUND(E13-D13,2)=0,"MATCH","DIFF")</f>
        <v/>
      </c>
      <c r="H13" s="16">
        <f>ROUND(E13-D13,2)</f>
        <v/>
      </c>
      <c r="I13" s="17" t="inlineStr"/>
    </row>
    <row r="14">
      <c r="A14" s="5" t="inlineStr">
        <is>
          <t>Revenue Local (New Users)</t>
        </is>
      </c>
      <c r="B14" s="5" t="inlineStr">
        <is>
          <t>Week 2026-03-16 to 2026-03-22</t>
        </is>
      </c>
      <c r="C14" s="14" t="n">
        <v>0</v>
      </c>
      <c r="D14" s="14" t="n">
        <v>0</v>
      </c>
      <c r="E14" s="14" t="n">
        <v>0</v>
      </c>
      <c r="F14" s="15">
        <f>IF(ROUND(E14-C14,2)=0,"MATCH","DIFF")</f>
        <v/>
      </c>
      <c r="G14" s="15">
        <f>IF(ROUND(E14-D14,2)=0,"MATCH","DIFF")</f>
        <v/>
      </c>
      <c r="H14" s="16">
        <f>ROUND(E14-D14,2)</f>
        <v/>
      </c>
      <c r="I14" s="17" t="inlineStr"/>
    </row>
    <row r="15">
      <c r="A15" s="5" t="inlineStr">
        <is>
          <t>Revenue USD (New Users)</t>
        </is>
      </c>
      <c r="B15" s="5" t="inlineStr">
        <is>
          <t>Week 2026-03-16 to 2026-03-22</t>
        </is>
      </c>
      <c r="C15" s="14" t="n">
        <v>0</v>
      </c>
      <c r="D15" s="14" t="n">
        <v>0</v>
      </c>
      <c r="E15" s="14" t="n">
        <v>0</v>
      </c>
      <c r="F15" s="15">
        <f>IF(ROUND(E15-C15,2)=0,"MATCH","DIFF")</f>
        <v/>
      </c>
      <c r="G15" s="15">
        <f>IF(ROUND(E15-D15,2)=0,"MATCH","DIFF")</f>
        <v/>
      </c>
      <c r="H15" s="16">
        <f>ROUND(E15-D15,2)</f>
        <v/>
      </c>
      <c r="I15" s="17" t="inlineStr"/>
    </row>
    <row r="16">
      <c r="A16" s="13" t="inlineStr">
        <is>
          <t>3. Funnel: Returning Users</t>
        </is>
      </c>
      <c r="B16" s="13" t="inlineStr">
        <is>
          <t>Week 2026-05-18 to 2026-05-24</t>
        </is>
      </c>
      <c r="C16" s="13" t="n"/>
      <c r="D16" s="13" t="n"/>
      <c r="E16" s="13" t="n"/>
      <c r="F16" s="13" t="n"/>
      <c r="G16" s="13" t="n"/>
      <c r="H16" s="13" t="n"/>
      <c r="I16" s="13" t="n"/>
    </row>
    <row r="17">
      <c r="A17" s="5" t="inlineStr">
        <is>
          <t>Product View (Returning)</t>
        </is>
      </c>
      <c r="B17" s="5" t="inlineStr"/>
      <c r="C17" s="14" t="n">
        <v>336</v>
      </c>
      <c r="D17" s="14" t="n">
        <v>336</v>
      </c>
      <c r="E17" s="14" t="n">
        <v>336</v>
      </c>
      <c r="F17" s="15">
        <f>IF(ROUND(E17-C17,2)=0,"MATCH","DIFF")</f>
        <v/>
      </c>
      <c r="G17" s="15">
        <f>IF(ROUND(E17-D17,2)=0,"MATCH","DIFF")</f>
        <v/>
      </c>
      <c r="H17" s="16">
        <f>ROUND(E17-D17,2)</f>
        <v/>
      </c>
      <c r="I17" s="17" t="inlineStr"/>
    </row>
    <row r="18">
      <c r="A18" s="5" t="inlineStr">
        <is>
          <t>Add to Wishlist (Returning)</t>
        </is>
      </c>
      <c r="B18" s="5" t="inlineStr"/>
      <c r="C18" s="14" t="n">
        <v>0</v>
      </c>
      <c r="D18" s="14" t="n">
        <v>0</v>
      </c>
      <c r="E18" s="14" t="n">
        <v>0</v>
      </c>
      <c r="F18" s="15">
        <f>IF(ROUND(E18-C18,2)=0,"MATCH","DIFF")</f>
        <v/>
      </c>
      <c r="G18" s="15">
        <f>IF(ROUND(E18-D18,2)=0,"MATCH","DIFF")</f>
        <v/>
      </c>
      <c r="H18" s="16">
        <f>ROUND(E18-D18,2)</f>
        <v/>
      </c>
      <c r="I18" s="17" t="inlineStr"/>
    </row>
    <row r="19">
      <c r="A19" s="5" t="inlineStr">
        <is>
          <t>Add to Cart (Returning)</t>
        </is>
      </c>
      <c r="B19" s="5" t="inlineStr"/>
      <c r="C19" s="14" t="n">
        <v>55</v>
      </c>
      <c r="D19" s="14" t="n">
        <v>55</v>
      </c>
      <c r="E19" s="14" t="n">
        <v>55</v>
      </c>
      <c r="F19" s="15">
        <f>IF(ROUND(E19-C19,2)=0,"MATCH","DIFF")</f>
        <v/>
      </c>
      <c r="G19" s="15">
        <f>IF(ROUND(E19-D19,2)=0,"MATCH","DIFF")</f>
        <v/>
      </c>
      <c r="H19" s="16">
        <f>ROUND(E19-D19,2)</f>
        <v/>
      </c>
      <c r="I19" s="17" t="inlineStr"/>
    </row>
    <row r="20">
      <c r="A20" s="5" t="inlineStr">
        <is>
          <t>Orders (Returning)</t>
        </is>
      </c>
      <c r="B20" s="5" t="inlineStr"/>
      <c r="C20" s="14" t="n">
        <v>11</v>
      </c>
      <c r="D20" s="14" t="n">
        <v>11</v>
      </c>
      <c r="E20" s="14" t="n">
        <v>11</v>
      </c>
      <c r="F20" s="15">
        <f>IF(ROUND(E20-C20,2)=0,"MATCH","DIFF")</f>
        <v/>
      </c>
      <c r="G20" s="15">
        <f>IF(ROUND(E20-D20,2)=0,"MATCH","DIFF")</f>
        <v/>
      </c>
      <c r="H20" s="16">
        <f>ROUND(E20-D20,2)</f>
        <v/>
      </c>
      <c r="I20" s="17" t="inlineStr"/>
    </row>
    <row r="21">
      <c r="A21" s="5" t="inlineStr">
        <is>
          <t>Revenue Local (Returning)</t>
        </is>
      </c>
      <c r="B21" s="5" t="inlineStr">
        <is>
          <t>Week 2026-03-16 to 2026-03-22</t>
        </is>
      </c>
      <c r="C21" s="14" t="n">
        <v>4380.92</v>
      </c>
      <c r="D21" s="14" t="n">
        <v>4380.92</v>
      </c>
      <c r="E21" s="14" t="n">
        <v>4380.92</v>
      </c>
      <c r="F21" s="15">
        <f>IF(ROUND(E21-C21,2)=0,"MATCH","DIFF")</f>
        <v/>
      </c>
      <c r="G21" s="15">
        <f>IF(ROUND(E21-D21,2)=0,"MATCH","DIFF")</f>
        <v/>
      </c>
      <c r="H21" s="16">
        <f>ROUND(E21-D21,2)</f>
        <v/>
      </c>
      <c r="I21" s="17" t="inlineStr"/>
    </row>
    <row r="22">
      <c r="A22" s="5" t="inlineStr">
        <is>
          <t>Revenue USD (Returning)</t>
        </is>
      </c>
      <c r="B22" s="5" t="inlineStr">
        <is>
          <t>Week 2026-03-16 to 2026-03-22</t>
        </is>
      </c>
      <c r="C22" s="14" t="n">
        <v>4380.92</v>
      </c>
      <c r="D22" s="14" t="n">
        <v>4380.92</v>
      </c>
      <c r="E22" s="14" t="n">
        <v>4380.92</v>
      </c>
      <c r="F22" s="15">
        <f>IF(ROUND(E22-C22,2)=0,"MATCH","DIFF")</f>
        <v/>
      </c>
      <c r="G22" s="15">
        <f>IF(ROUND(E22-D22,2)=0,"MATCH","DIFF")</f>
        <v/>
      </c>
      <c r="H22" s="16">
        <f>ROUND(E22-D22,2)</f>
        <v/>
      </c>
      <c r="I22" s="17" t="inlineStr"/>
    </row>
    <row r="23">
      <c r="A23" s="13" t="inlineStr">
        <is>
          <t>4. Funnel: Total Users</t>
        </is>
      </c>
      <c r="B23" s="13" t="inlineStr">
        <is>
          <t>Week 2026-05-18 to 2026-05-24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>
      <c r="A24" s="5" t="inlineStr">
        <is>
          <t>Product View (Total)</t>
        </is>
      </c>
      <c r="B24" s="5" t="inlineStr"/>
      <c r="C24" s="14" t="n">
        <v>460</v>
      </c>
      <c r="D24" s="14" t="n">
        <v>460</v>
      </c>
      <c r="E24" s="14" t="n">
        <v>460</v>
      </c>
      <c r="F24" s="15">
        <f>IF(ROUND(E24-C24,2)=0,"MATCH","DIFF")</f>
        <v/>
      </c>
      <c r="G24" s="15">
        <f>IF(ROUND(E24-D24,2)=0,"MATCH","DIFF")</f>
        <v/>
      </c>
      <c r="H24" s="16">
        <f>ROUND(E24-D24,2)</f>
        <v/>
      </c>
      <c r="I24" s="17" t="inlineStr"/>
    </row>
    <row r="25">
      <c r="A25" s="5" t="inlineStr">
        <is>
          <t>Add to Wishlist (Total)</t>
        </is>
      </c>
      <c r="B25" s="5" t="inlineStr"/>
      <c r="C25" s="14" t="n">
        <v>2</v>
      </c>
      <c r="D25" s="14" t="n">
        <v>2</v>
      </c>
      <c r="E25" s="14" t="n">
        <v>2</v>
      </c>
      <c r="F25" s="15">
        <f>IF(ROUND(E25-C25,2)=0,"MATCH","DIFF")</f>
        <v/>
      </c>
      <c r="G25" s="15">
        <f>IF(ROUND(E25-D25,2)=0,"MATCH","DIFF")</f>
        <v/>
      </c>
      <c r="H25" s="16">
        <f>ROUND(E25-D25,2)</f>
        <v/>
      </c>
      <c r="I25" s="17" t="inlineStr"/>
    </row>
    <row r="26">
      <c r="A26" s="5" t="inlineStr">
        <is>
          <t>Add to Cart (Total)</t>
        </is>
      </c>
      <c r="B26" s="5" t="inlineStr"/>
      <c r="C26" s="14" t="n">
        <v>83</v>
      </c>
      <c r="D26" s="14" t="n">
        <v>83</v>
      </c>
      <c r="E26" s="14" t="n">
        <v>83</v>
      </c>
      <c r="F26" s="15">
        <f>IF(ROUND(E26-C26,2)=0,"MATCH","DIFF")</f>
        <v/>
      </c>
      <c r="G26" s="15">
        <f>IF(ROUND(E26-D26,2)=0,"MATCH","DIFF")</f>
        <v/>
      </c>
      <c r="H26" s="16">
        <f>ROUND(E26-D26,2)</f>
        <v/>
      </c>
      <c r="I26" s="17" t="inlineStr"/>
    </row>
    <row r="27">
      <c r="A27" s="5" t="inlineStr">
        <is>
          <t>Orders (Total)</t>
        </is>
      </c>
      <c r="B27" s="5" t="inlineStr"/>
      <c r="C27" s="14" t="n">
        <v>15</v>
      </c>
      <c r="D27" s="14" t="n">
        <v>15</v>
      </c>
      <c r="E27" s="14" t="n">
        <v>15</v>
      </c>
      <c r="F27" s="15">
        <f>IF(ROUND(E27-C27,2)=0,"MATCH","DIFF")</f>
        <v/>
      </c>
      <c r="G27" s="15">
        <f>IF(ROUND(E27-D27,2)=0,"MATCH","DIFF")</f>
        <v/>
      </c>
      <c r="H27" s="16">
        <f>ROUND(E27-D27,2)</f>
        <v/>
      </c>
      <c r="I27" s="17" t="inlineStr"/>
    </row>
    <row r="28">
      <c r="A28" s="5" t="inlineStr">
        <is>
          <t>Revenue Local (Total)</t>
        </is>
      </c>
      <c r="B28" s="5" t="inlineStr">
        <is>
          <t>Week 2026-03-16 to 2026-03-22</t>
        </is>
      </c>
      <c r="C28" s="14" t="n">
        <v>4380.92</v>
      </c>
      <c r="D28" s="14" t="n">
        <v>4380.92</v>
      </c>
      <c r="E28" s="14" t="n">
        <v>4380.92</v>
      </c>
      <c r="F28" s="15">
        <f>IF(ROUND(E28-C28,2)=0,"MATCH","DIFF")</f>
        <v/>
      </c>
      <c r="G28" s="15">
        <f>IF(ROUND(E28-D28,2)=0,"MATCH","DIFF")</f>
        <v/>
      </c>
      <c r="H28" s="16">
        <f>ROUND(E28-D28,2)</f>
        <v/>
      </c>
      <c r="I28" s="17" t="inlineStr"/>
    </row>
    <row r="29">
      <c r="A29" s="5" t="inlineStr">
        <is>
          <t>Revenue USD (Total)</t>
        </is>
      </c>
      <c r="B29" s="5" t="inlineStr">
        <is>
          <t>Week 2026-03-16 to 2026-03-22</t>
        </is>
      </c>
      <c r="C29" s="14" t="n">
        <v>4380.92</v>
      </c>
      <c r="D29" s="14" t="n">
        <v>4380.92</v>
      </c>
      <c r="E29" s="14" t="n">
        <v>4380.92</v>
      </c>
      <c r="F29" s="15">
        <f>IF(ROUND(E29-C29,2)=0,"MATCH","DIFF")</f>
        <v/>
      </c>
      <c r="G29" s="15">
        <f>IF(ROUND(E29-D29,2)=0,"MATCH","DIFF")</f>
        <v/>
      </c>
      <c r="H29" s="16">
        <f>ROUND(E29-D29,2)</f>
        <v/>
      </c>
      <c r="I29" s="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15" customWidth="1" min="4" max="4"/>
    <col width="14" customWidth="1" min="5" max="5"/>
    <col width="11" customWidth="1" min="6" max="6"/>
    <col width="13" customWidth="1" min="7" max="7"/>
    <col width="13" customWidth="1" min="8" max="8"/>
    <col width="88" customWidth="1" min="9" max="9"/>
  </cols>
  <sheetData>
    <row r="1">
      <c r="A1" s="11" t="inlineStr">
        <is>
          <t>City Working - QA cross-check (old logic vs new gold_city_performance)</t>
        </is>
      </c>
    </row>
    <row r="2">
      <c r="A2" s="2" t="inlineStr">
        <is>
          <t>New model values computed in BigQuery from the fable-fabulous-outcome models (read-only, full dependency chain inlined). GA4 UI column ignored as instructed.</t>
        </is>
      </c>
    </row>
    <row r="4">
      <c r="A4" s="12" t="inlineStr">
        <is>
          <t>Metric</t>
        </is>
      </c>
      <c r="B4" s="12" t="inlineStr">
        <is>
          <t>Scope</t>
        </is>
      </c>
      <c r="C4" s="12" t="inlineStr">
        <is>
          <t>QA: Raw Events</t>
        </is>
      </c>
      <c r="D4" s="12" t="inlineStr">
        <is>
          <t>QA: Old Gold Mart</t>
        </is>
      </c>
      <c r="E4" s="12" t="inlineStr">
        <is>
          <t>New Model Value</t>
        </is>
      </c>
      <c r="F4" s="12" t="inlineStr">
        <is>
          <t>Match vs Raw</t>
        </is>
      </c>
      <c r="G4" s="12" t="inlineStr">
        <is>
          <t>Match vs Old Gold</t>
        </is>
      </c>
      <c r="H4" s="12" t="inlineStr">
        <is>
          <t>Delta (New - Old Gold)</t>
        </is>
      </c>
      <c r="I4" s="12" t="inlineStr">
        <is>
          <t>Explanation of difference</t>
        </is>
      </c>
    </row>
    <row r="5">
      <c r="A5" s="13" t="inlineStr">
        <is>
          <t>1. City A: Ahmedabad (Gujarat, India)</t>
        </is>
      </c>
      <c r="B5" s="13" t="inlineStr">
        <is>
          <t>Month: May 2026</t>
        </is>
      </c>
      <c r="C5" s="13" t="n"/>
      <c r="D5" s="13" t="n"/>
      <c r="E5" s="13" t="n"/>
      <c r="F5" s="13" t="n"/>
      <c r="G5" s="13" t="n"/>
      <c r="H5" s="13" t="n"/>
      <c r="I5" s="13" t="n"/>
    </row>
    <row r="6">
      <c r="A6" s="5" t="inlineStr">
        <is>
          <t>Visits (Sessions)</t>
        </is>
      </c>
      <c r="B6" s="5" t="inlineStr"/>
      <c r="C6" s="14" t="n">
        <v>929</v>
      </c>
      <c r="D6" s="14" t="n">
        <v>929</v>
      </c>
      <c r="E6" s="14" t="n">
        <v>928</v>
      </c>
      <c r="F6" s="18">
        <f>IF(ROUND(E6-C6,2)=0,"MATCH","DIFF")</f>
        <v/>
      </c>
      <c r="G6" s="18">
        <f>IF(ROUND(E6-D6,2)=0,"MATCH","DIFF")</f>
        <v/>
      </c>
      <c r="H6" s="19">
        <f>ROUND(E6-D6,2)</f>
        <v/>
      </c>
      <c r="I6" s="17" t="inlineStr">
        <is>
          <t>One session carried two cities; the new model assigns every session to exactly one city so city rows sum to the month total. Old event-window counting booked it under both cities.</t>
        </is>
      </c>
    </row>
    <row r="7">
      <c r="A7" s="5" t="inlineStr">
        <is>
          <t>Users</t>
        </is>
      </c>
      <c r="B7" s="5" t="inlineStr"/>
      <c r="C7" s="14" t="n">
        <v>453</v>
      </c>
      <c r="D7" s="14" t="n">
        <v>453</v>
      </c>
      <c r="E7" s="14" t="n">
        <v>453</v>
      </c>
      <c r="F7" s="15">
        <f>IF(ROUND(E7-C7,2)=0,"MATCH","DIFF")</f>
        <v/>
      </c>
      <c r="G7" s="15">
        <f>IF(ROUND(E7-D7,2)=0,"MATCH","DIFF")</f>
        <v/>
      </c>
      <c r="H7" s="16">
        <f>ROUND(E7-D7,2)</f>
        <v/>
      </c>
      <c r="I7" s="17" t="inlineStr"/>
    </row>
    <row r="8">
      <c r="A8" s="5" t="inlineStr">
        <is>
          <t>Product Detail Views</t>
        </is>
      </c>
      <c r="B8" s="5" t="inlineStr"/>
      <c r="C8" s="14" t="n">
        <v>1294</v>
      </c>
      <c r="D8" s="14" t="n">
        <v>1294</v>
      </c>
      <c r="E8" s="14" t="n">
        <v>1294</v>
      </c>
      <c r="F8" s="15">
        <f>IF(ROUND(E8-C8,2)=0,"MATCH","DIFF")</f>
        <v/>
      </c>
      <c r="G8" s="15">
        <f>IF(ROUND(E8-D8,2)=0,"MATCH","DIFF")</f>
        <v/>
      </c>
      <c r="H8" s="16">
        <f>ROUND(E8-D8,2)</f>
        <v/>
      </c>
      <c r="I8" s="17" t="inlineStr"/>
    </row>
    <row r="9">
      <c r="A9" s="5" t="inlineStr">
        <is>
          <t>Add to Wishlist</t>
        </is>
      </c>
      <c r="B9" s="5" t="inlineStr"/>
      <c r="C9" s="14" t="n">
        <v>17</v>
      </c>
      <c r="D9" s="14" t="n">
        <v>17</v>
      </c>
      <c r="E9" s="14" t="n">
        <v>17</v>
      </c>
      <c r="F9" s="15">
        <f>IF(ROUND(E9-C9,2)=0,"MATCH","DIFF")</f>
        <v/>
      </c>
      <c r="G9" s="15">
        <f>IF(ROUND(E9-D9,2)=0,"MATCH","DIFF")</f>
        <v/>
      </c>
      <c r="H9" s="16">
        <f>ROUND(E9-D9,2)</f>
        <v/>
      </c>
      <c r="I9" s="17" t="inlineStr"/>
    </row>
    <row r="10">
      <c r="A10" s="5" t="inlineStr">
        <is>
          <t>Add to Cart</t>
        </is>
      </c>
      <c r="B10" s="5" t="inlineStr"/>
      <c r="C10" s="14" t="n">
        <v>249</v>
      </c>
      <c r="D10" s="14" t="n">
        <v>249</v>
      </c>
      <c r="E10" s="14" t="n">
        <v>249</v>
      </c>
      <c r="F10" s="15">
        <f>IF(ROUND(E10-C10,2)=0,"MATCH","DIFF")</f>
        <v/>
      </c>
      <c r="G10" s="15">
        <f>IF(ROUND(E10-D10,2)=0,"MATCH","DIFF")</f>
        <v/>
      </c>
      <c r="H10" s="16">
        <f>ROUND(E10-D10,2)</f>
        <v/>
      </c>
      <c r="I10" s="17" t="inlineStr"/>
    </row>
    <row r="11">
      <c r="A11" s="5" t="inlineStr">
        <is>
          <t>Orders</t>
        </is>
      </c>
      <c r="B11" s="5" t="inlineStr"/>
      <c r="C11" s="14" t="n">
        <v>40</v>
      </c>
      <c r="D11" s="14" t="n">
        <v>40</v>
      </c>
      <c r="E11" s="14" t="n">
        <v>40</v>
      </c>
      <c r="F11" s="15">
        <f>IF(ROUND(E11-C11,2)=0,"MATCH","DIFF")</f>
        <v/>
      </c>
      <c r="G11" s="15">
        <f>IF(ROUND(E11-D11,2)=0,"MATCH","DIFF")</f>
        <v/>
      </c>
      <c r="H11" s="16">
        <f>ROUND(E11-D11,2)</f>
        <v/>
      </c>
      <c r="I11" s="17" t="inlineStr"/>
    </row>
    <row r="12">
      <c r="A12" s="5" t="inlineStr">
        <is>
          <t>Revenue Local</t>
        </is>
      </c>
      <c r="B12" s="5" t="inlineStr"/>
      <c r="C12" s="14" t="n">
        <v>56.95</v>
      </c>
      <c r="D12" s="14" t="n">
        <v>56.95</v>
      </c>
      <c r="E12" s="14" t="n">
        <v>56.95</v>
      </c>
      <c r="F12" s="15">
        <f>IF(ROUND(E12-C12,2)=0,"MATCH","DIFF")</f>
        <v/>
      </c>
      <c r="G12" s="15">
        <f>IF(ROUND(E12-D12,2)=0,"MATCH","DIFF")</f>
        <v/>
      </c>
      <c r="H12" s="16">
        <f>ROUND(E12-D12,2)</f>
        <v/>
      </c>
      <c r="I12" s="17" t="inlineStr"/>
    </row>
    <row r="13">
      <c r="A13" s="5" t="inlineStr">
        <is>
          <t>Revenue USD</t>
        </is>
      </c>
      <c r="B13" s="5" t="inlineStr"/>
      <c r="C13" s="14" t="n">
        <v>56.95</v>
      </c>
      <c r="D13" s="14" t="n">
        <v>56.95</v>
      </c>
      <c r="E13" s="14" t="n">
        <v>56.95</v>
      </c>
      <c r="F13" s="15">
        <f>IF(ROUND(E13-C13,2)=0,"MATCH","DIFF")</f>
        <v/>
      </c>
      <c r="G13" s="15">
        <f>IF(ROUND(E13-D13,2)=0,"MATCH","DIFF")</f>
        <v/>
      </c>
      <c r="H13" s="16">
        <f>ROUND(E13-D13,2)</f>
        <v/>
      </c>
      <c r="I13" s="17" t="inlineStr"/>
    </row>
    <row r="14">
      <c r="A14" s="5" t="inlineStr">
        <is>
          <t>Bounce Rate - flag (%)</t>
        </is>
      </c>
      <c r="B14" s="5" t="inlineStr"/>
      <c r="C14" s="14" t="n">
        <v>26.05</v>
      </c>
      <c r="D14" s="14" t="n">
        <v>26.05</v>
      </c>
      <c r="E14" s="14" t="n">
        <v>23.81</v>
      </c>
      <c r="F14" s="18">
        <f>IF(ROUND(E14-C14,2)=0,"MATCH","DIFF")</f>
        <v/>
      </c>
      <c r="G14" s="18">
        <f>IF(ROUND(E14-D14,2)=0,"MATCH","DIFF")</f>
        <v/>
      </c>
      <c r="H14" s="19">
        <f>ROUND(E14-D14,2)</f>
        <v/>
      </c>
      <c r="I14" s="17" t="inlineStr">
        <is>
          <t>New model reads session_engaged sent as string AND as int (1,939 events arrive int-typed); the old string-only read missed that engagement, inflating flag-method bounce. The new figure is closer to what GA4 itself measures.</t>
        </is>
      </c>
    </row>
    <row r="15">
      <c r="A15" s="5" t="inlineStr">
        <is>
          <t>Bounce Rate - 3 conditions (%)</t>
        </is>
      </c>
      <c r="B15" s="5" t="inlineStr"/>
      <c r="C15" s="14" t="n">
        <v>33.58</v>
      </c>
      <c r="D15" s="14" t="n">
        <v>33.58</v>
      </c>
      <c r="E15" s="14" t="n">
        <v>33.51</v>
      </c>
      <c r="F15" s="18">
        <f>IF(ROUND(E15-C15,2)=0,"MATCH","DIFF")</f>
        <v/>
      </c>
      <c r="G15" s="18">
        <f>IF(ROUND(E15-D15,2)=0,"MATCH","DIFF")</f>
        <v/>
      </c>
      <c r="H15" s="19">
        <f>ROUND(E15-D15,2)</f>
        <v/>
      </c>
      <c r="I15" s="17" t="inlineStr">
        <is>
          <t>Sessions are evaluated whole and assigned to the period they started in; old logic rebuilt sessions from the period's event window, clipping sessions at the edges.</t>
        </is>
      </c>
    </row>
    <row r="16">
      <c r="A16" s="13" t="inlineStr">
        <is>
          <t>2. City B: (not set / Unknown)</t>
        </is>
      </c>
      <c r="B16" s="13" t="inlineStr">
        <is>
          <t>Month: March 2026</t>
        </is>
      </c>
      <c r="C16" s="13" t="n"/>
      <c r="D16" s="13" t="n"/>
      <c r="E16" s="13" t="n"/>
      <c r="F16" s="13" t="n"/>
      <c r="G16" s="13" t="n"/>
      <c r="H16" s="13" t="n"/>
      <c r="I16" s="13" t="n"/>
    </row>
    <row r="17">
      <c r="A17" s="5" t="inlineStr">
        <is>
          <t>Visits (Sessions)</t>
        </is>
      </c>
      <c r="B17" s="5" t="inlineStr"/>
      <c r="C17" s="14" t="n">
        <v>64</v>
      </c>
      <c r="D17" s="14" t="n">
        <v>64</v>
      </c>
      <c r="E17" s="14" t="n">
        <v>64</v>
      </c>
      <c r="F17" s="15">
        <f>IF(ROUND(E17-C17,2)=0,"MATCH","DIFF")</f>
        <v/>
      </c>
      <c r="G17" s="15">
        <f>IF(ROUND(E17-D17,2)=0,"MATCH","DIFF")</f>
        <v/>
      </c>
      <c r="H17" s="16">
        <f>ROUND(E17-D17,2)</f>
        <v/>
      </c>
      <c r="I17" s="17" t="inlineStr">
        <is>
          <t>GA4's literal "(not set)" geo folds into the Unknown bucket, mirroring the old row.</t>
        </is>
      </c>
    </row>
    <row r="18">
      <c r="A18" s="5" t="inlineStr">
        <is>
          <t>Users</t>
        </is>
      </c>
      <c r="B18" s="5" t="inlineStr"/>
      <c r="C18" s="14" t="n">
        <v>140</v>
      </c>
      <c r="D18" s="14" t="n">
        <v>140</v>
      </c>
      <c r="E18" s="14" t="n">
        <v>140</v>
      </c>
      <c r="F18" s="15">
        <f>IF(ROUND(E18-C18,2)=0,"MATCH","DIFF")</f>
        <v/>
      </c>
      <c r="G18" s="15">
        <f>IF(ROUND(E18-D18,2)=0,"MATCH","DIFF")</f>
        <v/>
      </c>
      <c r="H18" s="16">
        <f>ROUND(E18-D18,2)</f>
        <v/>
      </c>
      <c r="I18" s="17" t="inlineStr"/>
    </row>
    <row r="19">
      <c r="A19" s="5" t="inlineStr">
        <is>
          <t>Product Detail Views</t>
        </is>
      </c>
      <c r="B19" s="5" t="inlineStr"/>
      <c r="C19" s="14" t="n">
        <v>181</v>
      </c>
      <c r="D19" s="14" t="n">
        <v>181</v>
      </c>
      <c r="E19" s="14" t="n">
        <v>181</v>
      </c>
      <c r="F19" s="15">
        <f>IF(ROUND(E19-C19,2)=0,"MATCH","DIFF")</f>
        <v/>
      </c>
      <c r="G19" s="15">
        <f>IF(ROUND(E19-D19,2)=0,"MATCH","DIFF")</f>
        <v/>
      </c>
      <c r="H19" s="16">
        <f>ROUND(E19-D19,2)</f>
        <v/>
      </c>
      <c r="I19" s="17" t="inlineStr"/>
    </row>
    <row r="20">
      <c r="A20" s="5" t="inlineStr">
        <is>
          <t>Add to Wishlist</t>
        </is>
      </c>
      <c r="B20" s="5" t="inlineStr"/>
      <c r="C20" s="14" t="n">
        <v>0</v>
      </c>
      <c r="D20" s="14" t="n">
        <v>0</v>
      </c>
      <c r="E20" s="14" t="n">
        <v>0</v>
      </c>
      <c r="F20" s="15">
        <f>IF(ROUND(E20-C20,2)=0,"MATCH","DIFF")</f>
        <v/>
      </c>
      <c r="G20" s="15">
        <f>IF(ROUND(E20-D20,2)=0,"MATCH","DIFF")</f>
        <v/>
      </c>
      <c r="H20" s="16">
        <f>ROUND(E20-D20,2)</f>
        <v/>
      </c>
      <c r="I20" s="17" t="inlineStr"/>
    </row>
    <row r="21">
      <c r="A21" s="5" t="inlineStr">
        <is>
          <t>Add to Cart</t>
        </is>
      </c>
      <c r="B21" s="5" t="inlineStr"/>
      <c r="C21" s="14" t="n">
        <v>133</v>
      </c>
      <c r="D21" s="14" t="n">
        <v>133</v>
      </c>
      <c r="E21" s="14" t="n">
        <v>133</v>
      </c>
      <c r="F21" s="15">
        <f>IF(ROUND(E21-C21,2)=0,"MATCH","DIFF")</f>
        <v/>
      </c>
      <c r="G21" s="15">
        <f>IF(ROUND(E21-D21,2)=0,"MATCH","DIFF")</f>
        <v/>
      </c>
      <c r="H21" s="16">
        <f>ROUND(E21-D21,2)</f>
        <v/>
      </c>
      <c r="I21" s="17" t="inlineStr"/>
    </row>
    <row r="22">
      <c r="A22" s="5" t="inlineStr">
        <is>
          <t>Orders</t>
        </is>
      </c>
      <c r="B22" s="5" t="inlineStr"/>
      <c r="C22" s="14" t="n">
        <v>14</v>
      </c>
      <c r="D22" s="14" t="n">
        <v>14</v>
      </c>
      <c r="E22" s="14" t="n">
        <v>14</v>
      </c>
      <c r="F22" s="15">
        <f>IF(ROUND(E22-C22,2)=0,"MATCH","DIFF")</f>
        <v/>
      </c>
      <c r="G22" s="15">
        <f>IF(ROUND(E22-D22,2)=0,"MATCH","DIFF")</f>
        <v/>
      </c>
      <c r="H22" s="16">
        <f>ROUND(E22-D22,2)</f>
        <v/>
      </c>
      <c r="I22" s="17" t="inlineStr"/>
    </row>
    <row r="23">
      <c r="A23" s="5" t="inlineStr">
        <is>
          <t>Revenue Local</t>
        </is>
      </c>
      <c r="B23" s="5" t="inlineStr"/>
      <c r="C23" s="14" t="n">
        <v>4380.92</v>
      </c>
      <c r="D23" s="14" t="n">
        <v>4380.92</v>
      </c>
      <c r="E23" s="14" t="n">
        <v>4380.92</v>
      </c>
      <c r="F23" s="15">
        <f>IF(ROUND(E23-C23,2)=0,"MATCH","DIFF")</f>
        <v/>
      </c>
      <c r="G23" s="15">
        <f>IF(ROUND(E23-D23,2)=0,"MATCH","DIFF")</f>
        <v/>
      </c>
      <c r="H23" s="16">
        <f>ROUND(E23-D23,2)</f>
        <v/>
      </c>
      <c r="I23" s="17" t="inlineStr"/>
    </row>
    <row r="24">
      <c r="A24" s="5" t="inlineStr">
        <is>
          <t>Revenue USD</t>
        </is>
      </c>
      <c r="B24" s="5" t="inlineStr"/>
      <c r="C24" s="14" t="n">
        <v>4380.92</v>
      </c>
      <c r="D24" s="14" t="n">
        <v>4380.92</v>
      </c>
      <c r="E24" s="14" t="n">
        <v>4380.92</v>
      </c>
      <c r="F24" s="15">
        <f>IF(ROUND(E24-C24,2)=0,"MATCH","DIFF")</f>
        <v/>
      </c>
      <c r="G24" s="15">
        <f>IF(ROUND(E24-D24,2)=0,"MATCH","DIFF")</f>
        <v/>
      </c>
      <c r="H24" s="16">
        <f>ROUND(E24-D24,2)</f>
        <v/>
      </c>
      <c r="I24" s="17" t="inlineStr"/>
    </row>
    <row r="25">
      <c r="A25" s="5" t="inlineStr">
        <is>
          <t>Bounce Rate - flag (%)</t>
        </is>
      </c>
      <c r="B25" s="5" t="inlineStr"/>
      <c r="C25" s="14" t="n">
        <v>101.56</v>
      </c>
      <c r="D25" s="14" t="n">
        <v>101.56</v>
      </c>
      <c r="E25" s="14" t="n">
        <v>100</v>
      </c>
      <c r="F25" s="18">
        <f>IF(ROUND(E25-C25,2)=0,"MATCH","DIFF")</f>
        <v/>
      </c>
      <c r="G25" s="18">
        <f>IF(ROUND(E25-D25,2)=0,"MATCH","DIFF")</f>
        <v/>
      </c>
      <c r="H25" s="19">
        <f>ROUND(E25-D25,2)</f>
        <v/>
      </c>
      <c r="I25" s="17" t="inlineStr">
        <is>
          <t>Old value exceeds 100% (numerator and denominator built on different session sets). New model computes the flag per session, so the rate is structurally capped at 100.</t>
        </is>
      </c>
    </row>
    <row r="26">
      <c r="A26" s="5" t="inlineStr">
        <is>
          <t>Bounce Rate - 3 conditions (%)</t>
        </is>
      </c>
      <c r="B26" s="5" t="inlineStr"/>
      <c r="C26" s="14" t="n">
        <v>3.13</v>
      </c>
      <c r="D26" s="14" t="n">
        <v>3.13</v>
      </c>
      <c r="E26" s="14" t="n">
        <v>3.13</v>
      </c>
      <c r="F26" s="15">
        <f>IF(ROUND(E26-C26,2)=0,"MATCH","DIFF")</f>
        <v/>
      </c>
      <c r="G26" s="15">
        <f>IF(ROUND(E26-D26,2)=0,"MATCH","DIFF")</f>
        <v/>
      </c>
      <c r="H26" s="16">
        <f>ROUND(E26-D26,2)</f>
        <v/>
      </c>
      <c r="I26" s="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15" customWidth="1" min="4" max="4"/>
    <col width="14" customWidth="1" min="5" max="5"/>
    <col width="11" customWidth="1" min="6" max="6"/>
    <col width="13" customWidth="1" min="7" max="7"/>
    <col width="13" customWidth="1" min="8" max="8"/>
    <col width="88" customWidth="1" min="9" max="9"/>
  </cols>
  <sheetData>
    <row r="1">
      <c r="A1" s="11" t="inlineStr">
        <is>
          <t>Devices - QA cross-check (old logic vs new gold_device_performance)</t>
        </is>
      </c>
    </row>
    <row r="2">
      <c r="A2" s="2" t="inlineStr">
        <is>
          <t>New model values computed in BigQuery from the fable-fabulous-outcome models (read-only, full dependency chain inlined). GA4 UI column ignored as instructed.</t>
        </is>
      </c>
    </row>
    <row r="4">
      <c r="A4" s="12" t="inlineStr">
        <is>
          <t>Metric</t>
        </is>
      </c>
      <c r="B4" s="12" t="inlineStr">
        <is>
          <t>Scope</t>
        </is>
      </c>
      <c r="C4" s="12" t="inlineStr">
        <is>
          <t>QA: Raw Events</t>
        </is>
      </c>
      <c r="D4" s="12" t="inlineStr">
        <is>
          <t>QA: Old Gold Mart</t>
        </is>
      </c>
      <c r="E4" s="12" t="inlineStr">
        <is>
          <t>New Model Value</t>
        </is>
      </c>
      <c r="F4" s="12" t="inlineStr">
        <is>
          <t>Match vs Raw</t>
        </is>
      </c>
      <c r="G4" s="12" t="inlineStr">
        <is>
          <t>Match vs Old Gold</t>
        </is>
      </c>
      <c r="H4" s="12" t="inlineStr">
        <is>
          <t>Delta (New - Old Gold)</t>
        </is>
      </c>
      <c r="I4" s="12" t="inlineStr">
        <is>
          <t>Explanation of difference</t>
        </is>
      </c>
    </row>
    <row r="5">
      <c r="A5" s="13" t="inlineStr">
        <is>
          <t>1. Desktop</t>
        </is>
      </c>
      <c r="B5" s="13" t="inlineStr">
        <is>
          <t>Month: May 2026</t>
        </is>
      </c>
      <c r="C5" s="13" t="n"/>
      <c r="D5" s="13" t="n"/>
      <c r="E5" s="13" t="n"/>
      <c r="F5" s="13" t="n"/>
      <c r="G5" s="13" t="n"/>
      <c r="H5" s="13" t="n"/>
      <c r="I5" s="13" t="n"/>
    </row>
    <row r="6">
      <c r="A6" s="5" t="inlineStr">
        <is>
          <t>Traffic (sessions)</t>
        </is>
      </c>
      <c r="B6" s="5" t="inlineStr"/>
      <c r="C6" s="14" t="n">
        <v>934</v>
      </c>
      <c r="D6" s="14" t="n">
        <v>934</v>
      </c>
      <c r="E6" s="14" t="n">
        <v>918</v>
      </c>
      <c r="F6" s="18">
        <f>IF(ROUND(E6-C6,2)=0,"MATCH","DIFF")</f>
        <v/>
      </c>
      <c r="G6" s="18">
        <f>IF(ROUND(E6-D6,2)=0,"MATCH","DIFF")</f>
        <v/>
      </c>
      <c r="H6" s="19">
        <f>ROUND(E6-D6,2)</f>
        <v/>
      </c>
      <c r="I6" s="17" t="inlineStr">
        <is>
          <t>Old per-device session counts overlap (their Desktop 934 + Mobile 31 = 965 vs their own total 949). New model assigns one device per session: 918 + 31 = 949 exactly. Per the client workbook the new mart's "traffic" column counts users (454); sessions are kept as their own column - compared here.</t>
        </is>
      </c>
    </row>
    <row r="7">
      <c r="A7" s="5" t="inlineStr">
        <is>
          <t>Product View</t>
        </is>
      </c>
      <c r="B7" s="5" t="inlineStr"/>
      <c r="C7" s="14" t="n">
        <v>1300</v>
      </c>
      <c r="D7" s="14" t="n">
        <v>1300</v>
      </c>
      <c r="E7" s="14" t="n">
        <v>1300</v>
      </c>
      <c r="F7" s="15">
        <f>IF(ROUND(E7-C7,2)=0,"MATCH","DIFF")</f>
        <v/>
      </c>
      <c r="G7" s="15">
        <f>IF(ROUND(E7-D7,2)=0,"MATCH","DIFF")</f>
        <v/>
      </c>
      <c r="H7" s="16">
        <f>ROUND(E7-D7,2)</f>
        <v/>
      </c>
      <c r="I7" s="17" t="inlineStr"/>
    </row>
    <row r="8">
      <c r="A8" s="5" t="inlineStr">
        <is>
          <t>Add to Cart</t>
        </is>
      </c>
      <c r="B8" s="5" t="inlineStr"/>
      <c r="C8" s="14" t="n">
        <v>250</v>
      </c>
      <c r="D8" s="14" t="n">
        <v>250</v>
      </c>
      <c r="E8" s="14" t="n">
        <v>250</v>
      </c>
      <c r="F8" s="15">
        <f>IF(ROUND(E8-C8,2)=0,"MATCH","DIFF")</f>
        <v/>
      </c>
      <c r="G8" s="15">
        <f>IF(ROUND(E8-D8,2)=0,"MATCH","DIFF")</f>
        <v/>
      </c>
      <c r="H8" s="16">
        <f>ROUND(E8-D8,2)</f>
        <v/>
      </c>
      <c r="I8" s="17" t="inlineStr"/>
    </row>
    <row r="9">
      <c r="A9" s="5" t="inlineStr">
        <is>
          <t>Orders</t>
        </is>
      </c>
      <c r="B9" s="5" t="inlineStr"/>
      <c r="C9" s="14" t="n">
        <v>40</v>
      </c>
      <c r="D9" s="14" t="n">
        <v>40</v>
      </c>
      <c r="E9" s="14" t="n">
        <v>40</v>
      </c>
      <c r="F9" s="15">
        <f>IF(ROUND(E9-C9,2)=0,"MATCH","DIFF")</f>
        <v/>
      </c>
      <c r="G9" s="15">
        <f>IF(ROUND(E9-D9,2)=0,"MATCH","DIFF")</f>
        <v/>
      </c>
      <c r="H9" s="16">
        <f>ROUND(E9-D9,2)</f>
        <v/>
      </c>
      <c r="I9" s="17" t="inlineStr"/>
    </row>
    <row r="10">
      <c r="A10" s="5" t="inlineStr">
        <is>
          <t>Quantity</t>
        </is>
      </c>
      <c r="B10" s="5" t="inlineStr"/>
      <c r="C10" s="14" t="n">
        <v>79</v>
      </c>
      <c r="D10" s="14" t="n">
        <v>79</v>
      </c>
      <c r="E10" s="14" t="n">
        <v>79</v>
      </c>
      <c r="F10" s="15">
        <f>IF(ROUND(E10-C10,2)=0,"MATCH","DIFF")</f>
        <v/>
      </c>
      <c r="G10" s="15">
        <f>IF(ROUND(E10-D10,2)=0,"MATCH","DIFF")</f>
        <v/>
      </c>
      <c r="H10" s="16">
        <f>ROUND(E10-D10,2)</f>
        <v/>
      </c>
      <c r="I10" s="17" t="inlineStr"/>
    </row>
    <row r="11">
      <c r="A11" s="5" t="inlineStr">
        <is>
          <t>Revenue Local</t>
        </is>
      </c>
      <c r="B11" s="5" t="inlineStr"/>
      <c r="C11" s="14" t="n">
        <v>56.95</v>
      </c>
      <c r="D11" s="14" t="n">
        <v>56.95</v>
      </c>
      <c r="E11" s="14" t="n">
        <v>56.95</v>
      </c>
      <c r="F11" s="15">
        <f>IF(ROUND(E11-C11,2)=0,"MATCH","DIFF")</f>
        <v/>
      </c>
      <c r="G11" s="15">
        <f>IF(ROUND(E11-D11,2)=0,"MATCH","DIFF")</f>
        <v/>
      </c>
      <c r="H11" s="16">
        <f>ROUND(E11-D11,2)</f>
        <v/>
      </c>
      <c r="I11" s="17" t="inlineStr"/>
    </row>
    <row r="12">
      <c r="A12" s="5" t="inlineStr">
        <is>
          <t>Revenue USD</t>
        </is>
      </c>
      <c r="B12" s="5" t="inlineStr"/>
      <c r="C12" s="14" t="n">
        <v>56.95</v>
      </c>
      <c r="D12" s="14" t="n">
        <v>56.95</v>
      </c>
      <c r="E12" s="14" t="n">
        <v>56.95</v>
      </c>
      <c r="F12" s="15">
        <f>IF(ROUND(E12-C12,2)=0,"MATCH","DIFF")</f>
        <v/>
      </c>
      <c r="G12" s="15">
        <f>IF(ROUND(E12-D12,2)=0,"MATCH","DIFF")</f>
        <v/>
      </c>
      <c r="H12" s="16">
        <f>ROUND(E12-D12,2)</f>
        <v/>
      </c>
      <c r="I12" s="17" t="inlineStr"/>
    </row>
    <row r="13">
      <c r="A13" s="5" t="inlineStr">
        <is>
          <t>Bounce Rate - flag (%)</t>
        </is>
      </c>
      <c r="B13" s="5" t="inlineStr"/>
      <c r="C13" s="14" t="n">
        <v>26.12</v>
      </c>
      <c r="D13" s="14" t="n">
        <v>26.12</v>
      </c>
      <c r="E13" s="14" t="n">
        <v>24.18</v>
      </c>
      <c r="F13" s="18">
        <f>IF(ROUND(E13-C13,2)=0,"MATCH","DIFF")</f>
        <v/>
      </c>
      <c r="G13" s="18">
        <f>IF(ROUND(E13-D13,2)=0,"MATCH","DIFF")</f>
        <v/>
      </c>
      <c r="H13" s="19">
        <f>ROUND(E13-D13,2)</f>
        <v/>
      </c>
      <c r="I13" s="17" t="inlineStr">
        <is>
          <t>New model reads session_engaged sent as string AND as int (1,939 events arrive int-typed); the old string-only read missed that engagement, inflating flag-method bounce. The new figure is closer to what GA4 itself measures.</t>
        </is>
      </c>
    </row>
    <row r="14">
      <c r="A14" s="5" t="inlineStr">
        <is>
          <t>Bounce Rate - 3 conditions (%)</t>
        </is>
      </c>
      <c r="B14" s="5" t="inlineStr"/>
      <c r="C14" s="14" t="n">
        <v>33.83</v>
      </c>
      <c r="D14" s="14" t="n">
        <v>33.83</v>
      </c>
      <c r="E14" s="14" t="n">
        <v>34.1</v>
      </c>
      <c r="F14" s="18">
        <f>IF(ROUND(E14-C14,2)=0,"MATCH","DIFF")</f>
        <v/>
      </c>
      <c r="G14" s="18">
        <f>IF(ROUND(E14-D14,2)=0,"MATCH","DIFF")</f>
        <v/>
      </c>
      <c r="H14" s="19">
        <f>ROUND(E14-D14,2)</f>
        <v/>
      </c>
      <c r="I14" s="17" t="inlineStr">
        <is>
          <t>Sessions are evaluated whole and assigned to the period they started in; old logic rebuilt sessions from the period's event window, clipping sessions at the edges.</t>
        </is>
      </c>
    </row>
    <row r="15">
      <c r="A15" s="13" t="inlineStr">
        <is>
          <t>2. Mobile</t>
        </is>
      </c>
      <c r="B15" s="13" t="inlineStr">
        <is>
          <t>Month: May 2026</t>
        </is>
      </c>
      <c r="C15" s="13" t="n"/>
      <c r="D15" s="13" t="n"/>
      <c r="E15" s="13" t="n"/>
      <c r="F15" s="13" t="n"/>
      <c r="G15" s="13" t="n"/>
      <c r="H15" s="13" t="n"/>
      <c r="I15" s="13" t="n"/>
    </row>
    <row r="16">
      <c r="A16" s="5" t="inlineStr">
        <is>
          <t>Traffic (sessions)</t>
        </is>
      </c>
      <c r="B16" s="5" t="inlineStr"/>
      <c r="C16" s="14" t="n">
        <v>31</v>
      </c>
      <c r="D16" s="14" t="n">
        <v>31</v>
      </c>
      <c r="E16" s="14" t="n">
        <v>31</v>
      </c>
      <c r="F16" s="15">
        <f>IF(ROUND(E16-C16,2)=0,"MATCH","DIFF")</f>
        <v/>
      </c>
      <c r="G16" s="15">
        <f>IF(ROUND(E16-D16,2)=0,"MATCH","DIFF")</f>
        <v/>
      </c>
      <c r="H16" s="16">
        <f>ROUND(E16-D16,2)</f>
        <v/>
      </c>
      <c r="I16" s="17" t="inlineStr"/>
    </row>
    <row r="17">
      <c r="A17" s="5" t="inlineStr">
        <is>
          <t>Product View</t>
        </is>
      </c>
      <c r="B17" s="5" t="inlineStr"/>
      <c r="C17" s="14" t="n">
        <v>4</v>
      </c>
      <c r="D17" s="14" t="n">
        <v>4</v>
      </c>
      <c r="E17" s="14" t="n">
        <v>4</v>
      </c>
      <c r="F17" s="15">
        <f>IF(ROUND(E17-C17,2)=0,"MATCH","DIFF")</f>
        <v/>
      </c>
      <c r="G17" s="15">
        <f>IF(ROUND(E17-D17,2)=0,"MATCH","DIFF")</f>
        <v/>
      </c>
      <c r="H17" s="16">
        <f>ROUND(E17-D17,2)</f>
        <v/>
      </c>
      <c r="I17" s="17" t="inlineStr"/>
    </row>
    <row r="18">
      <c r="A18" s="5" t="inlineStr">
        <is>
          <t>Add to Cart</t>
        </is>
      </c>
      <c r="B18" s="5" t="inlineStr"/>
      <c r="C18" s="14" t="n">
        <v>1</v>
      </c>
      <c r="D18" s="14" t="n">
        <v>1</v>
      </c>
      <c r="E18" s="14" t="n">
        <v>1</v>
      </c>
      <c r="F18" s="15">
        <f>IF(ROUND(E18-C18,2)=0,"MATCH","DIFF")</f>
        <v/>
      </c>
      <c r="G18" s="15">
        <f>IF(ROUND(E18-D18,2)=0,"MATCH","DIFF")</f>
        <v/>
      </c>
      <c r="H18" s="16">
        <f>ROUND(E18-D18,2)</f>
        <v/>
      </c>
      <c r="I18" s="17" t="inlineStr"/>
    </row>
    <row r="19">
      <c r="A19" s="5" t="inlineStr">
        <is>
          <t>Orders</t>
        </is>
      </c>
      <c r="B19" s="5" t="inlineStr"/>
      <c r="C19" s="14" t="n">
        <v>0</v>
      </c>
      <c r="D19" s="14" t="n">
        <v>0</v>
      </c>
      <c r="E19" s="14" t="n">
        <v>0</v>
      </c>
      <c r="F19" s="15">
        <f>IF(ROUND(E19-C19,2)=0,"MATCH","DIFF")</f>
        <v/>
      </c>
      <c r="G19" s="15">
        <f>IF(ROUND(E19-D19,2)=0,"MATCH","DIFF")</f>
        <v/>
      </c>
      <c r="H19" s="16">
        <f>ROUND(E19-D19,2)</f>
        <v/>
      </c>
      <c r="I19" s="17" t="inlineStr"/>
    </row>
    <row r="20">
      <c r="A20" s="5" t="inlineStr">
        <is>
          <t>Quantity</t>
        </is>
      </c>
      <c r="B20" s="5" t="inlineStr"/>
      <c r="C20" s="14" t="n">
        <v>0</v>
      </c>
      <c r="D20" s="14" t="n">
        <v>0</v>
      </c>
      <c r="E20" s="14" t="n">
        <v>0</v>
      </c>
      <c r="F20" s="15">
        <f>IF(ROUND(E20-C20,2)=0,"MATCH","DIFF")</f>
        <v/>
      </c>
      <c r="G20" s="15">
        <f>IF(ROUND(E20-D20,2)=0,"MATCH","DIFF")</f>
        <v/>
      </c>
      <c r="H20" s="16">
        <f>ROUND(E20-D20,2)</f>
        <v/>
      </c>
      <c r="I20" s="17" t="inlineStr"/>
    </row>
    <row r="21">
      <c r="A21" s="5" t="inlineStr">
        <is>
          <t>Revenue Local</t>
        </is>
      </c>
      <c r="B21" s="5" t="inlineStr"/>
      <c r="C21" s="14" t="n">
        <v>0</v>
      </c>
      <c r="D21" s="14" t="n">
        <v>0</v>
      </c>
      <c r="E21" s="14" t="n">
        <v>0</v>
      </c>
      <c r="F21" s="15">
        <f>IF(ROUND(E21-C21,2)=0,"MATCH","DIFF")</f>
        <v/>
      </c>
      <c r="G21" s="15">
        <f>IF(ROUND(E21-D21,2)=0,"MATCH","DIFF")</f>
        <v/>
      </c>
      <c r="H21" s="16">
        <f>ROUND(E21-D21,2)</f>
        <v/>
      </c>
      <c r="I21" s="17" t="inlineStr"/>
    </row>
    <row r="22">
      <c r="A22" s="5" t="inlineStr">
        <is>
          <t>Revenue USD</t>
        </is>
      </c>
      <c r="B22" s="5" t="inlineStr"/>
      <c r="C22" s="14" t="n">
        <v>0</v>
      </c>
      <c r="D22" s="14" t="n">
        <v>0</v>
      </c>
      <c r="E22" s="14" t="n">
        <v>0</v>
      </c>
      <c r="F22" s="15">
        <f>IF(ROUND(E22-C22,2)=0,"MATCH","DIFF")</f>
        <v/>
      </c>
      <c r="G22" s="15">
        <f>IF(ROUND(E22-D22,2)=0,"MATCH","DIFF")</f>
        <v/>
      </c>
      <c r="H22" s="16">
        <f>ROUND(E22-D22,2)</f>
        <v/>
      </c>
      <c r="I22" s="17" t="inlineStr"/>
    </row>
    <row r="23">
      <c r="A23" s="5" t="inlineStr">
        <is>
          <t>Bounce Rate - flag (%)</t>
        </is>
      </c>
      <c r="B23" s="5" t="inlineStr"/>
      <c r="C23" s="14" t="n">
        <v>16.13</v>
      </c>
      <c r="D23" s="14" t="n">
        <v>16.13</v>
      </c>
      <c r="E23" s="14" t="n">
        <v>12.9</v>
      </c>
      <c r="F23" s="18">
        <f>IF(ROUND(E23-C23,2)=0,"MATCH","DIFF")</f>
        <v/>
      </c>
      <c r="G23" s="18">
        <f>IF(ROUND(E23-D23,2)=0,"MATCH","DIFF")</f>
        <v/>
      </c>
      <c r="H23" s="19">
        <f>ROUND(E23-D23,2)</f>
        <v/>
      </c>
      <c r="I23" s="17" t="inlineStr">
        <is>
          <t>New model reads session_engaged sent as string AND as int (1,939 events arrive int-typed); the old string-only read missed that engagement, inflating flag-method bounce. The new figure is closer to what GA4 itself measures.</t>
        </is>
      </c>
    </row>
    <row r="24">
      <c r="A24" s="5" t="inlineStr">
        <is>
          <t>Bounce Rate - 3 conditions (%)</t>
        </is>
      </c>
      <c r="B24" s="5" t="inlineStr"/>
      <c r="C24" s="14" t="n">
        <v>51.61</v>
      </c>
      <c r="D24" s="14" t="n">
        <v>51.61</v>
      </c>
      <c r="E24" s="14" t="n">
        <v>41.94</v>
      </c>
      <c r="F24" s="18">
        <f>IF(ROUND(E24-C24,2)=0,"MATCH","DIFF")</f>
        <v/>
      </c>
      <c r="G24" s="18">
        <f>IF(ROUND(E24-D24,2)=0,"MATCH","DIFF")</f>
        <v/>
      </c>
      <c r="H24" s="19">
        <f>ROUND(E24-D24,2)</f>
        <v/>
      </c>
      <c r="I24" s="17" t="inlineStr">
        <is>
          <t>Small base (31 sessions, 1 session = 3.2 points). Sessions are evaluated whole and assigned to the period they started in; old logic rebuilt sessions from the period's event window, clipping sessions at the edges.</t>
        </is>
      </c>
    </row>
    <row r="25">
      <c r="A25" s="13" t="inlineStr">
        <is>
          <t>3. Total Combined</t>
        </is>
      </c>
      <c r="B25" s="13" t="inlineStr">
        <is>
          <t>Month: May 2026</t>
        </is>
      </c>
      <c r="C25" s="13" t="n"/>
      <c r="D25" s="13" t="n"/>
      <c r="E25" s="13" t="n"/>
      <c r="F25" s="13" t="n"/>
      <c r="G25" s="13" t="n"/>
      <c r="H25" s="13" t="n"/>
      <c r="I25" s="13" t="n"/>
    </row>
    <row r="26">
      <c r="A26" s="5" t="inlineStr">
        <is>
          <t>Traffic (sessions)</t>
        </is>
      </c>
      <c r="B26" s="5" t="inlineStr"/>
      <c r="C26" s="14" t="n">
        <v>949</v>
      </c>
      <c r="D26" s="14" t="n">
        <v>949</v>
      </c>
      <c r="E26" s="14" t="n">
        <v>949</v>
      </c>
      <c r="F26" s="15">
        <f>IF(ROUND(E26-C26,2)=0,"MATCH","DIFF")</f>
        <v/>
      </c>
      <c r="G26" s="15">
        <f>IF(ROUND(E26-D26,2)=0,"MATCH","DIFF")</f>
        <v/>
      </c>
      <c r="H26" s="16">
        <f>ROUND(E26-D26,2)</f>
        <v/>
      </c>
      <c r="I26" s="17" t="inlineStr"/>
    </row>
    <row r="27">
      <c r="A27" s="5" t="inlineStr">
        <is>
          <t>Product View</t>
        </is>
      </c>
      <c r="B27" s="5" t="inlineStr"/>
      <c r="C27" s="14" t="n">
        <v>1304</v>
      </c>
      <c r="D27" s="14" t="n">
        <v>1304</v>
      </c>
      <c r="E27" s="14" t="n">
        <v>1304</v>
      </c>
      <c r="F27" s="15">
        <f>IF(ROUND(E27-C27,2)=0,"MATCH","DIFF")</f>
        <v/>
      </c>
      <c r="G27" s="15">
        <f>IF(ROUND(E27-D27,2)=0,"MATCH","DIFF")</f>
        <v/>
      </c>
      <c r="H27" s="16">
        <f>ROUND(E27-D27,2)</f>
        <v/>
      </c>
      <c r="I27" s="17" t="inlineStr"/>
    </row>
    <row r="28">
      <c r="A28" s="5" t="inlineStr">
        <is>
          <t>Add to Cart</t>
        </is>
      </c>
      <c r="B28" s="5" t="inlineStr"/>
      <c r="C28" s="14" t="n">
        <v>251</v>
      </c>
      <c r="D28" s="14" t="n">
        <v>251</v>
      </c>
      <c r="E28" s="14" t="n">
        <v>251</v>
      </c>
      <c r="F28" s="15">
        <f>IF(ROUND(E28-C28,2)=0,"MATCH","DIFF")</f>
        <v/>
      </c>
      <c r="G28" s="15">
        <f>IF(ROUND(E28-D28,2)=0,"MATCH","DIFF")</f>
        <v/>
      </c>
      <c r="H28" s="16">
        <f>ROUND(E28-D28,2)</f>
        <v/>
      </c>
      <c r="I28" s="17" t="inlineStr"/>
    </row>
    <row r="29">
      <c r="A29" s="5" t="inlineStr">
        <is>
          <t>Orders</t>
        </is>
      </c>
      <c r="B29" s="5" t="inlineStr"/>
      <c r="C29" s="14" t="n">
        <v>40</v>
      </c>
      <c r="D29" s="14" t="n">
        <v>40</v>
      </c>
      <c r="E29" s="14" t="n">
        <v>40</v>
      </c>
      <c r="F29" s="15">
        <f>IF(ROUND(E29-C29,2)=0,"MATCH","DIFF")</f>
        <v/>
      </c>
      <c r="G29" s="15">
        <f>IF(ROUND(E29-D29,2)=0,"MATCH","DIFF")</f>
        <v/>
      </c>
      <c r="H29" s="16">
        <f>ROUND(E29-D29,2)</f>
        <v/>
      </c>
      <c r="I29" s="17" t="inlineStr"/>
    </row>
    <row r="30">
      <c r="A30" s="5" t="inlineStr">
        <is>
          <t>Quantity</t>
        </is>
      </c>
      <c r="B30" s="5" t="inlineStr"/>
      <c r="C30" s="14" t="n">
        <v>79</v>
      </c>
      <c r="D30" s="14" t="n">
        <v>79</v>
      </c>
      <c r="E30" s="14" t="n">
        <v>79</v>
      </c>
      <c r="F30" s="15">
        <f>IF(ROUND(E30-C30,2)=0,"MATCH","DIFF")</f>
        <v/>
      </c>
      <c r="G30" s="15">
        <f>IF(ROUND(E30-D30,2)=0,"MATCH","DIFF")</f>
        <v/>
      </c>
      <c r="H30" s="16">
        <f>ROUND(E30-D30,2)</f>
        <v/>
      </c>
      <c r="I30" s="17" t="inlineStr"/>
    </row>
    <row r="31">
      <c r="A31" s="5" t="inlineStr">
        <is>
          <t>Revenue Local</t>
        </is>
      </c>
      <c r="B31" s="5" t="inlineStr"/>
      <c r="C31" s="14" t="n">
        <v>56.95</v>
      </c>
      <c r="D31" s="14" t="n">
        <v>56.95</v>
      </c>
      <c r="E31" s="14" t="n">
        <v>56.95</v>
      </c>
      <c r="F31" s="15">
        <f>IF(ROUND(E31-C31,2)=0,"MATCH","DIFF")</f>
        <v/>
      </c>
      <c r="G31" s="15">
        <f>IF(ROUND(E31-D31,2)=0,"MATCH","DIFF")</f>
        <v/>
      </c>
      <c r="H31" s="16">
        <f>ROUND(E31-D31,2)</f>
        <v/>
      </c>
      <c r="I31" s="17" t="inlineStr"/>
    </row>
    <row r="32">
      <c r="A32" s="5" t="inlineStr">
        <is>
          <t>Revenue USD</t>
        </is>
      </c>
      <c r="B32" s="5" t="inlineStr"/>
      <c r="C32" s="14" t="n">
        <v>56.95</v>
      </c>
      <c r="D32" s="14" t="n">
        <v>56.95</v>
      </c>
      <c r="E32" s="14" t="n">
        <v>56.95</v>
      </c>
      <c r="F32" s="15">
        <f>IF(ROUND(E32-C32,2)=0,"MATCH","DIFF")</f>
        <v/>
      </c>
      <c r="G32" s="15">
        <f>IF(ROUND(E32-D32,2)=0,"MATCH","DIFF")</f>
        <v/>
      </c>
      <c r="H32" s="16">
        <f>ROUND(E32-D32,2)</f>
        <v/>
      </c>
      <c r="I32" s="17" t="inlineStr"/>
    </row>
    <row r="33">
      <c r="A33" s="5" t="inlineStr">
        <is>
          <t>Bounce Rate - flag (%)</t>
        </is>
      </c>
      <c r="B33" s="5" t="inlineStr"/>
      <c r="C33" s="14" t="n">
        <v>26.24</v>
      </c>
      <c r="D33" s="14" t="n">
        <v>26.24</v>
      </c>
      <c r="E33" s="14" t="n">
        <v>23.81</v>
      </c>
      <c r="F33" s="18">
        <f>IF(ROUND(E33-C33,2)=0,"MATCH","DIFF")</f>
        <v/>
      </c>
      <c r="G33" s="18">
        <f>IF(ROUND(E33-D33,2)=0,"MATCH","DIFF")</f>
        <v/>
      </c>
      <c r="H33" s="19">
        <f>ROUND(E33-D33,2)</f>
        <v/>
      </c>
      <c r="I33" s="17" t="inlineStr">
        <is>
          <t>New model reads session_engaged sent as string AND as int (1,939 events arrive int-typed); the old string-only read missed that engagement, inflating flag-method bounce. The new figure is closer to what GA4 itself measures.</t>
        </is>
      </c>
    </row>
    <row r="34">
      <c r="A34" s="5" t="inlineStr">
        <is>
          <t>Bounce Rate - 3 conditions (%)</t>
        </is>
      </c>
      <c r="B34" s="5" t="inlineStr"/>
      <c r="C34" s="14" t="n">
        <v>34.98</v>
      </c>
      <c r="D34" s="14" t="n">
        <v>34.98</v>
      </c>
      <c r="E34" s="14" t="n">
        <v>34.35</v>
      </c>
      <c r="F34" s="18">
        <f>IF(ROUND(E34-C34,2)=0,"MATCH","DIFF")</f>
        <v/>
      </c>
      <c r="G34" s="18">
        <f>IF(ROUND(E34-D34,2)=0,"MATCH","DIFF")</f>
        <v/>
      </c>
      <c r="H34" s="19">
        <f>ROUND(E34-D34,2)</f>
        <v/>
      </c>
      <c r="I34" s="17" t="inlineStr">
        <is>
          <t>Sessions are evaluated whole and assigned to the period they started in; old logic rebuilt sessions from the period's event window, clipping sessions at the edges.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15" customWidth="1" min="4" max="4"/>
    <col width="14" customWidth="1" min="5" max="5"/>
    <col width="11" customWidth="1" min="6" max="6"/>
    <col width="13" customWidth="1" min="7" max="7"/>
    <col width="13" customWidth="1" min="8" max="8"/>
    <col width="88" customWidth="1" min="9" max="9"/>
  </cols>
  <sheetData>
    <row r="1">
      <c r="A1" s="11" t="inlineStr">
        <is>
          <t>Prod Working - QA cross-check (old logic vs new product models, SKU grain)</t>
        </is>
      </c>
    </row>
    <row r="2">
      <c r="A2" s="2" t="inlineStr">
        <is>
          <t>New model values computed in BigQuery from the fable-fabulous-outcome models (read-only, full dependency chain inlined). GA4 UI column ignored as instructed.</t>
        </is>
      </c>
    </row>
    <row r="4">
      <c r="A4" s="12" t="inlineStr">
        <is>
          <t>Metric</t>
        </is>
      </c>
      <c r="B4" s="12" t="inlineStr">
        <is>
          <t>Scope</t>
        </is>
      </c>
      <c r="C4" s="12" t="inlineStr">
        <is>
          <t>QA: Raw Events</t>
        </is>
      </c>
      <c r="D4" s="12" t="inlineStr">
        <is>
          <t>QA: Old Gold Mart</t>
        </is>
      </c>
      <c r="E4" s="12" t="inlineStr">
        <is>
          <t>New Model Value</t>
        </is>
      </c>
      <c r="F4" s="12" t="inlineStr">
        <is>
          <t>Match vs Raw</t>
        </is>
      </c>
      <c r="G4" s="12" t="inlineStr">
        <is>
          <t>Match vs Old Gold</t>
        </is>
      </c>
      <c r="H4" s="12" t="inlineStr">
        <is>
          <t>Delta (New - Old Gold)</t>
        </is>
      </c>
      <c r="I4" s="12" t="inlineStr">
        <is>
          <t>Explanation of difference</t>
        </is>
      </c>
    </row>
    <row r="5">
      <c r="A5" s="13" t="inlineStr">
        <is>
          <t>Cyberpunk Hoodie (SKU_102)</t>
        </is>
      </c>
      <c r="B5" s="13" t="inlineStr">
        <is>
          <t>Month: March 2026</t>
        </is>
      </c>
      <c r="C5" s="13" t="n"/>
      <c r="D5" s="13" t="n"/>
      <c r="E5" s="13" t="n"/>
      <c r="F5" s="13" t="n"/>
      <c r="G5" s="13" t="n"/>
      <c r="H5" s="13" t="n"/>
      <c r="I5" s="13" t="n"/>
    </row>
    <row r="6">
      <c r="A6" s="5" t="inlineStr">
        <is>
          <t>Visits</t>
        </is>
      </c>
      <c r="B6" s="5" t="inlineStr"/>
      <c r="C6" s="14" t="n">
        <v>36</v>
      </c>
      <c r="D6" s="14" t="n">
        <v>36</v>
      </c>
      <c r="E6" s="14" t="n">
        <v>36</v>
      </c>
      <c r="F6" s="15">
        <f>IF(ROUND(E6-C6,2)=0,"MATCH","DIFF")</f>
        <v/>
      </c>
      <c r="G6" s="15">
        <f>IF(ROUND(E6-D6,2)=0,"MATCH","DIFF")</f>
        <v/>
      </c>
      <c r="H6" s="16">
        <f>ROUND(E6-D6,2)</f>
        <v/>
      </c>
      <c r="I6" s="17" t="inlineStr"/>
    </row>
    <row r="7">
      <c r="A7" s="5" t="inlineStr">
        <is>
          <t>Unique visitors</t>
        </is>
      </c>
      <c r="B7" s="5" t="inlineStr"/>
      <c r="C7" s="14" t="n">
        <v>74</v>
      </c>
      <c r="D7" s="14" t="n">
        <v>74</v>
      </c>
      <c r="E7" s="14" t="n">
        <v>74</v>
      </c>
      <c r="F7" s="15">
        <f>IF(ROUND(E7-C7,2)=0,"MATCH","DIFF")</f>
        <v/>
      </c>
      <c r="G7" s="15">
        <f>IF(ROUND(E7-D7,2)=0,"MATCH","DIFF")</f>
        <v/>
      </c>
      <c r="H7" s="16">
        <f>ROUND(E7-D7,2)</f>
        <v/>
      </c>
      <c r="I7" s="17" t="inlineStr"/>
    </row>
    <row r="8">
      <c r="A8" s="5" t="inlineStr">
        <is>
          <t>Product views</t>
        </is>
      </c>
      <c r="B8" s="5" t="inlineStr"/>
      <c r="C8" s="14" t="n">
        <v>59</v>
      </c>
      <c r="D8" s="14" t="n">
        <v>59</v>
      </c>
      <c r="E8" s="14" t="n">
        <v>59</v>
      </c>
      <c r="F8" s="15">
        <f>IF(ROUND(E8-C8,2)=0,"MATCH","DIFF")</f>
        <v/>
      </c>
      <c r="G8" s="15">
        <f>IF(ROUND(E8-D8,2)=0,"MATCH","DIFF")</f>
        <v/>
      </c>
      <c r="H8" s="16">
        <f>ROUND(E8-D8,2)</f>
        <v/>
      </c>
      <c r="I8" s="17" t="inlineStr"/>
    </row>
    <row r="9">
      <c r="A9" s="5" t="inlineStr">
        <is>
          <t>Add to wishlist</t>
        </is>
      </c>
      <c r="B9" s="5" t="inlineStr"/>
      <c r="C9" s="14" t="n">
        <v>0</v>
      </c>
      <c r="D9" s="14" t="n">
        <v>0</v>
      </c>
      <c r="E9" s="14" t="n">
        <v>0</v>
      </c>
      <c r="F9" s="15">
        <f>IF(ROUND(E9-C9,2)=0,"MATCH","DIFF")</f>
        <v/>
      </c>
      <c r="G9" s="15">
        <f>IF(ROUND(E9-D9,2)=0,"MATCH","DIFF")</f>
        <v/>
      </c>
      <c r="H9" s="16">
        <f>ROUND(E9-D9,2)</f>
        <v/>
      </c>
      <c r="I9" s="17" t="inlineStr"/>
    </row>
    <row r="10">
      <c r="A10" s="5" t="inlineStr">
        <is>
          <t>Orders</t>
        </is>
      </c>
      <c r="B10" s="5" t="inlineStr"/>
      <c r="C10" s="14" t="n">
        <v>1</v>
      </c>
      <c r="D10" s="14" t="n">
        <v>1</v>
      </c>
      <c r="E10" s="14" t="n">
        <v>1</v>
      </c>
      <c r="F10" s="15">
        <f>IF(ROUND(E10-C10,2)=0,"MATCH","DIFF")</f>
        <v/>
      </c>
      <c r="G10" s="15">
        <f>IF(ROUND(E10-D10,2)=0,"MATCH","DIFF")</f>
        <v/>
      </c>
      <c r="H10" s="16">
        <f>ROUND(E10-D10,2)</f>
        <v/>
      </c>
      <c r="I10" s="17" t="inlineStr"/>
    </row>
    <row r="11">
      <c r="A11" s="5" t="inlineStr">
        <is>
          <t>Quantity</t>
        </is>
      </c>
      <c r="B11" s="5" t="inlineStr"/>
      <c r="C11" s="14" t="n">
        <v>1</v>
      </c>
      <c r="D11" s="14" t="n">
        <v>1</v>
      </c>
      <c r="E11" s="14" t="n">
        <v>1</v>
      </c>
      <c r="F11" s="15">
        <f>IF(ROUND(E11-C11,2)=0,"MATCH","DIFF")</f>
        <v/>
      </c>
      <c r="G11" s="15">
        <f>IF(ROUND(E11-D11,2)=0,"MATCH","DIFF")</f>
        <v/>
      </c>
      <c r="H11" s="16">
        <f>ROUND(E11-D11,2)</f>
        <v/>
      </c>
      <c r="I11" s="17" t="inlineStr"/>
    </row>
    <row r="12">
      <c r="A12" s="5" t="inlineStr">
        <is>
          <t>Revenue local</t>
        </is>
      </c>
      <c r="B12" s="5" t="inlineStr"/>
      <c r="C12" s="14" t="n">
        <v>65.5</v>
      </c>
      <c r="D12" s="14" t="n">
        <v>65.5</v>
      </c>
      <c r="E12" s="14" t="n">
        <v>65.5</v>
      </c>
      <c r="F12" s="15">
        <f>IF(ROUND(E12-C12,2)=0,"MATCH","DIFF")</f>
        <v/>
      </c>
      <c r="G12" s="15">
        <f>IF(ROUND(E12-D12,2)=0,"MATCH","DIFF")</f>
        <v/>
      </c>
      <c r="H12" s="16">
        <f>ROUND(E12-D12,2)</f>
        <v/>
      </c>
      <c r="I12" s="17" t="inlineStr"/>
    </row>
    <row r="13">
      <c r="A13" s="5" t="inlineStr">
        <is>
          <t>Revenue USD</t>
        </is>
      </c>
      <c r="B13" s="5" t="inlineStr"/>
      <c r="C13" s="14" t="n">
        <v>65.5</v>
      </c>
      <c r="D13" s="14" t="n">
        <v>65.5</v>
      </c>
      <c r="E13" s="14" t="n">
        <v>65.5</v>
      </c>
      <c r="F13" s="15">
        <f>IF(ROUND(E13-C13,2)=0,"MATCH","DIFF")</f>
        <v/>
      </c>
      <c r="G13" s="15">
        <f>IF(ROUND(E13-D13,2)=0,"MATCH","DIFF")</f>
        <v/>
      </c>
      <c r="H13" s="16">
        <f>ROUND(E13-D13,2)</f>
        <v/>
      </c>
      <c r="I13" s="17" t="inlineStr"/>
    </row>
    <row r="14">
      <c r="A14" s="5" t="inlineStr">
        <is>
          <t>Bounce rate - flag (%)</t>
        </is>
      </c>
      <c r="B14" s="5" t="inlineStr"/>
      <c r="C14" s="14" t="n">
        <v>100</v>
      </c>
      <c r="D14" s="14" t="n">
        <v>100</v>
      </c>
      <c r="E14" s="14" t="n">
        <v>100</v>
      </c>
      <c r="F14" s="15">
        <f>IF(ROUND(E14-C14,2)=0,"MATCH","DIFF")</f>
        <v/>
      </c>
      <c r="G14" s="15">
        <f>IF(ROUND(E14-D14,2)=0,"MATCH","DIFF")</f>
        <v/>
      </c>
      <c r="H14" s="16">
        <f>ROUND(E14-D14,2)</f>
        <v/>
      </c>
      <c r="I14" s="17" t="inlineStr">
        <is>
          <t>QA cell shows 1.0 (fraction); normalised to percent here.</t>
        </is>
      </c>
    </row>
    <row r="15">
      <c r="A15" s="5" t="inlineStr">
        <is>
          <t>Bounce rate - 3 conditions (%)</t>
        </is>
      </c>
      <c r="B15" s="5" t="inlineStr"/>
      <c r="C15" s="14" t="n">
        <v>0</v>
      </c>
      <c r="D15" s="14" t="n">
        <v>0</v>
      </c>
      <c r="E15" s="14" t="n">
        <v>0</v>
      </c>
      <c r="F15" s="15">
        <f>IF(ROUND(E15-C15,2)=0,"MATCH","DIFF")</f>
        <v/>
      </c>
      <c r="G15" s="15">
        <f>IF(ROUND(E15-D15,2)=0,"MATCH","DIFF")</f>
        <v/>
      </c>
      <c r="H15" s="16">
        <f>ROUND(E15-D15,2)</f>
        <v/>
      </c>
      <c r="I15" s="17" t="inlineStr"/>
    </row>
    <row r="16">
      <c r="A16" s="5" t="inlineStr">
        <is>
          <t>PV / visit</t>
        </is>
      </c>
      <c r="B16" s="5" t="inlineStr"/>
      <c r="C16" s="14" t="n">
        <v>1.64</v>
      </c>
      <c r="D16" s="14" t="n">
        <v>1.64</v>
      </c>
      <c r="E16" s="14" t="n">
        <v>1.64</v>
      </c>
      <c r="F16" s="15">
        <f>IF(ROUND(E16-C16,2)=0,"MATCH","DIFF")</f>
        <v/>
      </c>
      <c r="G16" s="15">
        <f>IF(ROUND(E16-D16,2)=0,"MATCH","DIFF")</f>
        <v/>
      </c>
      <c r="H16" s="16">
        <f>ROUND(E16-D16,2)</f>
        <v/>
      </c>
      <c r="I16" s="17" t="inlineStr"/>
    </row>
    <row r="17">
      <c r="A17" s="5" t="inlineStr">
        <is>
          <t>AC vs PV %</t>
        </is>
      </c>
      <c r="B17" s="5" t="inlineStr"/>
      <c r="C17" s="14" t="n">
        <v>103.39</v>
      </c>
      <c r="D17" s="14" t="n">
        <v>103.39</v>
      </c>
      <c r="E17" s="14" t="n">
        <v>103.39</v>
      </c>
      <c r="F17" s="15">
        <f>IF(ROUND(E17-C17,2)=0,"MATCH","DIFF")</f>
        <v/>
      </c>
      <c r="G17" s="15">
        <f>IF(ROUND(E17-D17,2)=0,"MATCH","DIFF")</f>
        <v/>
      </c>
      <c r="H17" s="16">
        <f>ROUND(E17-D17,2)</f>
        <v/>
      </c>
      <c r="I17" s="17" t="inlineStr">
        <is>
          <t>61 cart additions / 59 product views.</t>
        </is>
      </c>
    </row>
    <row r="18">
      <c r="A18" s="5" t="inlineStr">
        <is>
          <t>Order vs Cart %</t>
        </is>
      </c>
      <c r="B18" s="5" t="inlineStr"/>
      <c r="C18" s="14" t="n">
        <v>1.64</v>
      </c>
      <c r="D18" s="14" t="n">
        <v>1.64</v>
      </c>
      <c r="E18" s="14" t="n">
        <v>1.64</v>
      </c>
      <c r="F18" s="15">
        <f>IF(ROUND(E18-C18,2)=0,"MATCH","DIFF")</f>
        <v/>
      </c>
      <c r="G18" s="15">
        <f>IF(ROUND(E18-D18,2)=0,"MATCH","DIFF")</f>
        <v/>
      </c>
      <c r="H18" s="16">
        <f>ROUND(E18-D18,2)</f>
        <v/>
      </c>
      <c r="I18" s="17" t="inlineStr">
        <is>
          <t>QA cell shows 0.0164 (fraction); normalised to percent.</t>
        </is>
      </c>
    </row>
    <row r="19">
      <c r="A19" s="5" t="inlineStr">
        <is>
          <t>Conversion rate %</t>
        </is>
      </c>
      <c r="B19" s="5" t="inlineStr"/>
      <c r="C19" s="14" t="n">
        <v>1.35</v>
      </c>
      <c r="D19" s="14" t="n">
        <v>1.35</v>
      </c>
      <c r="E19" s="14" t="n">
        <v>1.35</v>
      </c>
      <c r="F19" s="15">
        <f>IF(ROUND(E19-C19,2)=0,"MATCH","DIFF")</f>
        <v/>
      </c>
      <c r="G19" s="15">
        <f>IF(ROUND(E19-D19,2)=0,"MATCH","DIFF")</f>
        <v/>
      </c>
      <c r="H19" s="16">
        <f>ROUND(E19-D19,2)</f>
        <v/>
      </c>
      <c r="I19" s="17" t="inlineStr">
        <is>
          <t>QA cell shows 0.0135 (fraction); normalised to percent.</t>
        </is>
      </c>
    </row>
    <row r="20">
      <c r="A20" s="5" t="inlineStr">
        <is>
          <t>Ticket size local</t>
        </is>
      </c>
      <c r="B20" s="5" t="inlineStr"/>
      <c r="C20" s="14" t="n">
        <v>65.5</v>
      </c>
      <c r="D20" s="14" t="n">
        <v>65.5</v>
      </c>
      <c r="E20" s="14" t="n">
        <v>65.5</v>
      </c>
      <c r="F20" s="15">
        <f>IF(ROUND(E20-C20,2)=0,"MATCH","DIFF")</f>
        <v/>
      </c>
      <c r="G20" s="15">
        <f>IF(ROUND(E20-D20,2)=0,"MATCH","DIFF")</f>
        <v/>
      </c>
      <c r="H20" s="16">
        <f>ROUND(E20-D20,2)</f>
        <v/>
      </c>
      <c r="I20" s="17" t="inlineStr"/>
    </row>
    <row r="21">
      <c r="A21" s="5" t="inlineStr">
        <is>
          <t>Ticket size USD</t>
        </is>
      </c>
      <c r="B21" s="5" t="inlineStr"/>
      <c r="C21" s="14" t="n">
        <v>65.5</v>
      </c>
      <c r="D21" s="14" t="n">
        <v>65.5</v>
      </c>
      <c r="E21" s="14" t="n">
        <v>65.5</v>
      </c>
      <c r="F21" s="15">
        <f>IF(ROUND(E21-C21,2)=0,"MATCH","DIFF")</f>
        <v/>
      </c>
      <c r="G21" s="15">
        <f>IF(ROUND(E21-D21,2)=0,"MATCH","DIFF")</f>
        <v/>
      </c>
      <c r="H21" s="16">
        <f>ROUND(E21-D21,2)</f>
        <v/>
      </c>
      <c r="I21" s="17" t="inlineStr"/>
    </row>
    <row r="22">
      <c r="A22" s="5" t="inlineStr">
        <is>
          <t>AUV (revenue / quantity)</t>
        </is>
      </c>
      <c r="B22" s="5" t="inlineStr"/>
      <c r="C22" s="14" t="n">
        <v>65.5</v>
      </c>
      <c r="D22" s="14" t="n">
        <v>65.5</v>
      </c>
      <c r="E22" s="14" t="n">
        <v>65.5</v>
      </c>
      <c r="F22" s="15">
        <f>IF(ROUND(E22-C22,2)=0,"MATCH","DIFF")</f>
        <v/>
      </c>
      <c r="G22" s="15">
        <f>IF(ROUND(E22-D22,2)=0,"MATCH","DIFF")</f>
        <v/>
      </c>
      <c r="H22" s="16">
        <f>ROUND(E22-D22,2)</f>
        <v/>
      </c>
      <c r="I22" s="17" t="inlineStr">
        <is>
          <t>Matches on the old definition (revenue per unit). Per the Damas client workbook the new mart's auv column means average unique visitors per day instead.</t>
        </is>
      </c>
    </row>
    <row r="23">
      <c r="A23" s="13" t="inlineStr">
        <is>
          <t>Anti-Grav Boots (SKU_103)</t>
        </is>
      </c>
      <c r="B23" s="13" t="inlineStr">
        <is>
          <t>Month: March 2026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>
      <c r="A24" s="5" t="inlineStr">
        <is>
          <t>Visits</t>
        </is>
      </c>
      <c r="B24" s="5" t="inlineStr"/>
      <c r="C24" s="14" t="n">
        <v>31</v>
      </c>
      <c r="D24" s="14" t="n">
        <v>31</v>
      </c>
      <c r="E24" s="14" t="n">
        <v>31</v>
      </c>
      <c r="F24" s="15">
        <f>IF(ROUND(E24-C24,2)=0,"MATCH","DIFF")</f>
        <v/>
      </c>
      <c r="G24" s="15">
        <f>IF(ROUND(E24-D24,2)=0,"MATCH","DIFF")</f>
        <v/>
      </c>
      <c r="H24" s="16">
        <f>ROUND(E24-D24,2)</f>
        <v/>
      </c>
      <c r="I24" s="17" t="inlineStr"/>
    </row>
    <row r="25">
      <c r="A25" s="5" t="inlineStr">
        <is>
          <t>Unique visitors</t>
        </is>
      </c>
      <c r="B25" s="5" t="inlineStr"/>
      <c r="C25" s="14" t="n">
        <v>66</v>
      </c>
      <c r="D25" s="14" t="n">
        <v>66</v>
      </c>
      <c r="E25" s="14" t="n">
        <v>66</v>
      </c>
      <c r="F25" s="15">
        <f>IF(ROUND(E25-C25,2)=0,"MATCH","DIFF")</f>
        <v/>
      </c>
      <c r="G25" s="15">
        <f>IF(ROUND(E25-D25,2)=0,"MATCH","DIFF")</f>
        <v/>
      </c>
      <c r="H25" s="16">
        <f>ROUND(E25-D25,2)</f>
        <v/>
      </c>
      <c r="I25" s="17" t="inlineStr"/>
    </row>
    <row r="26">
      <c r="A26" s="5" t="inlineStr">
        <is>
          <t>Product views</t>
        </is>
      </c>
      <c r="B26" s="5" t="inlineStr"/>
      <c r="C26" s="14" t="n">
        <v>42</v>
      </c>
      <c r="D26" s="14" t="n">
        <v>42</v>
      </c>
      <c r="E26" s="14" t="n">
        <v>42</v>
      </c>
      <c r="F26" s="15">
        <f>IF(ROUND(E26-C26,2)=0,"MATCH","DIFF")</f>
        <v/>
      </c>
      <c r="G26" s="15">
        <f>IF(ROUND(E26-D26,2)=0,"MATCH","DIFF")</f>
        <v/>
      </c>
      <c r="H26" s="16">
        <f>ROUND(E26-D26,2)</f>
        <v/>
      </c>
      <c r="I26" s="17" t="inlineStr"/>
    </row>
    <row r="27">
      <c r="A27" s="5" t="inlineStr">
        <is>
          <t>Add to wishlist</t>
        </is>
      </c>
      <c r="B27" s="5" t="inlineStr"/>
      <c r="C27" s="14" t="n">
        <v>0</v>
      </c>
      <c r="D27" s="14" t="n">
        <v>0</v>
      </c>
      <c r="E27" s="14" t="n">
        <v>0</v>
      </c>
      <c r="F27" s="15">
        <f>IF(ROUND(E27-C27,2)=0,"MATCH","DIFF")</f>
        <v/>
      </c>
      <c r="G27" s="15">
        <f>IF(ROUND(E27-D27,2)=0,"MATCH","DIFF")</f>
        <v/>
      </c>
      <c r="H27" s="16">
        <f>ROUND(E27-D27,2)</f>
        <v/>
      </c>
      <c r="I27" s="17" t="inlineStr"/>
    </row>
    <row r="28">
      <c r="A28" s="5" t="inlineStr">
        <is>
          <t>Orders</t>
        </is>
      </c>
      <c r="B28" s="5" t="inlineStr"/>
      <c r="C28" s="14" t="n">
        <v>10</v>
      </c>
      <c r="D28" s="14" t="n">
        <v>10</v>
      </c>
      <c r="E28" s="14" t="n">
        <v>10</v>
      </c>
      <c r="F28" s="15">
        <f>IF(ROUND(E28-C28,2)=0,"MATCH","DIFF")</f>
        <v/>
      </c>
      <c r="G28" s="15">
        <f>IF(ROUND(E28-D28,2)=0,"MATCH","DIFF")</f>
        <v/>
      </c>
      <c r="H28" s="16">
        <f>ROUND(E28-D28,2)</f>
        <v/>
      </c>
      <c r="I28" s="17" t="inlineStr"/>
    </row>
    <row r="29">
      <c r="A29" s="5" t="inlineStr">
        <is>
          <t>Quantity</t>
        </is>
      </c>
      <c r="B29" s="5" t="inlineStr"/>
      <c r="C29" s="14" t="n">
        <v>10</v>
      </c>
      <c r="D29" s="14" t="n">
        <v>10</v>
      </c>
      <c r="E29" s="14" t="n">
        <v>10</v>
      </c>
      <c r="F29" s="15">
        <f>IF(ROUND(E29-C29,2)=0,"MATCH","DIFF")</f>
        <v/>
      </c>
      <c r="G29" s="15">
        <f>IF(ROUND(E29-D29,2)=0,"MATCH","DIFF")</f>
        <v/>
      </c>
      <c r="H29" s="16">
        <f>ROUND(E29-D29,2)</f>
        <v/>
      </c>
      <c r="I29" s="17" t="inlineStr"/>
    </row>
    <row r="30">
      <c r="A30" s="5" t="inlineStr">
        <is>
          <t>Revenue local</t>
        </is>
      </c>
      <c r="B30" s="5" t="inlineStr"/>
      <c r="C30" s="14" t="n">
        <v>1200</v>
      </c>
      <c r="D30" s="14" t="n">
        <v>1200</v>
      </c>
      <c r="E30" s="14" t="n">
        <v>1200</v>
      </c>
      <c r="F30" s="15">
        <f>IF(ROUND(E30-C30,2)=0,"MATCH","DIFF")</f>
        <v/>
      </c>
      <c r="G30" s="15">
        <f>IF(ROUND(E30-D30,2)=0,"MATCH","DIFF")</f>
        <v/>
      </c>
      <c r="H30" s="16">
        <f>ROUND(E30-D30,2)</f>
        <v/>
      </c>
      <c r="I30" s="17" t="inlineStr"/>
    </row>
    <row r="31">
      <c r="A31" s="5" t="inlineStr">
        <is>
          <t>Revenue USD</t>
        </is>
      </c>
      <c r="B31" s="5" t="inlineStr"/>
      <c r="C31" s="14" t="n">
        <v>1200</v>
      </c>
      <c r="D31" s="14" t="n">
        <v>1200</v>
      </c>
      <c r="E31" s="14" t="n">
        <v>1200</v>
      </c>
      <c r="F31" s="15">
        <f>IF(ROUND(E31-C31,2)=0,"MATCH","DIFF")</f>
        <v/>
      </c>
      <c r="G31" s="15">
        <f>IF(ROUND(E31-D31,2)=0,"MATCH","DIFF")</f>
        <v/>
      </c>
      <c r="H31" s="16">
        <f>ROUND(E31-D31,2)</f>
        <v/>
      </c>
      <c r="I31" s="17" t="inlineStr"/>
    </row>
    <row r="32">
      <c r="A32" s="5" t="inlineStr">
        <is>
          <t>Bounce rate - flag (%)</t>
        </is>
      </c>
      <c r="B32" s="5" t="inlineStr"/>
      <c r="C32" s="14" t="n">
        <v>100</v>
      </c>
      <c r="D32" s="14" t="n">
        <v>100</v>
      </c>
      <c r="E32" s="14" t="n">
        <v>100</v>
      </c>
      <c r="F32" s="15">
        <f>IF(ROUND(E32-C32,2)=0,"MATCH","DIFF")</f>
        <v/>
      </c>
      <c r="G32" s="15">
        <f>IF(ROUND(E32-D32,2)=0,"MATCH","DIFF")</f>
        <v/>
      </c>
      <c r="H32" s="16">
        <f>ROUND(E32-D32,2)</f>
        <v/>
      </c>
      <c r="I32" s="17" t="inlineStr"/>
    </row>
    <row r="33">
      <c r="A33" s="5" t="inlineStr">
        <is>
          <t>Bounce rate - 3 conditions (%)</t>
        </is>
      </c>
      <c r="B33" s="5" t="inlineStr"/>
      <c r="C33" s="14" t="n">
        <v>0</v>
      </c>
      <c r="D33" s="14" t="n">
        <v>0</v>
      </c>
      <c r="E33" s="14" t="n">
        <v>0</v>
      </c>
      <c r="F33" s="15">
        <f>IF(ROUND(E33-C33,2)=0,"MATCH","DIFF")</f>
        <v/>
      </c>
      <c r="G33" s="15">
        <f>IF(ROUND(E33-D33,2)=0,"MATCH","DIFF")</f>
        <v/>
      </c>
      <c r="H33" s="16">
        <f>ROUND(E33-D33,2)</f>
        <v/>
      </c>
      <c r="I33" s="17" t="inlineStr"/>
    </row>
    <row r="34">
      <c r="A34" s="5" t="inlineStr">
        <is>
          <t>PV / visit</t>
        </is>
      </c>
      <c r="B34" s="5" t="inlineStr"/>
      <c r="C34" s="14" t="n">
        <v>1.35</v>
      </c>
      <c r="D34" s="14" t="n">
        <v>1.35</v>
      </c>
      <c r="E34" s="14" t="n">
        <v>1.35</v>
      </c>
      <c r="F34" s="15">
        <f>IF(ROUND(E34-C34,2)=0,"MATCH","DIFF")</f>
        <v/>
      </c>
      <c r="G34" s="15">
        <f>IF(ROUND(E34-D34,2)=0,"MATCH","DIFF")</f>
        <v/>
      </c>
      <c r="H34" s="16">
        <f>ROUND(E34-D34,2)</f>
        <v/>
      </c>
      <c r="I34" s="17" t="inlineStr"/>
    </row>
    <row r="35">
      <c r="A35" s="5" t="inlineStr">
        <is>
          <t>AC vs PV %</t>
        </is>
      </c>
      <c r="B35" s="5" t="inlineStr"/>
      <c r="C35" s="14" t="n">
        <v>76.19</v>
      </c>
      <c r="D35" s="14" t="n">
        <v>76.19</v>
      </c>
      <c r="E35" s="14" t="n">
        <v>76.19</v>
      </c>
      <c r="F35" s="15">
        <f>IF(ROUND(E35-C35,2)=0,"MATCH","DIFF")</f>
        <v/>
      </c>
      <c r="G35" s="15">
        <f>IF(ROUND(E35-D35,2)=0,"MATCH","DIFF")</f>
        <v/>
      </c>
      <c r="H35" s="16">
        <f>ROUND(E35-D35,2)</f>
        <v/>
      </c>
      <c r="I35" s="17" t="inlineStr">
        <is>
          <t>32 cart additions / 42 product views.</t>
        </is>
      </c>
    </row>
    <row r="36">
      <c r="A36" s="5" t="inlineStr">
        <is>
          <t>Order vs Cart %</t>
        </is>
      </c>
      <c r="B36" s="5" t="inlineStr"/>
      <c r="C36" s="14" t="n">
        <v>31.25</v>
      </c>
      <c r="D36" s="14" t="n">
        <v>31.25</v>
      </c>
      <c r="E36" s="14" t="n">
        <v>31.25</v>
      </c>
      <c r="F36" s="15">
        <f>IF(ROUND(E36-C36,2)=0,"MATCH","DIFF")</f>
        <v/>
      </c>
      <c r="G36" s="15">
        <f>IF(ROUND(E36-D36,2)=0,"MATCH","DIFF")</f>
        <v/>
      </c>
      <c r="H36" s="16">
        <f>ROUND(E36-D36,2)</f>
        <v/>
      </c>
      <c r="I36" s="17" t="inlineStr"/>
    </row>
    <row r="37">
      <c r="A37" s="5" t="inlineStr">
        <is>
          <t>Conversion rate %</t>
        </is>
      </c>
      <c r="B37" s="5" t="inlineStr"/>
      <c r="C37" s="14" t="n">
        <v>15.15</v>
      </c>
      <c r="D37" s="14" t="n">
        <v>15.15</v>
      </c>
      <c r="E37" s="14" t="n">
        <v>15.15</v>
      </c>
      <c r="F37" s="15">
        <f>IF(ROUND(E37-C37,2)=0,"MATCH","DIFF")</f>
        <v/>
      </c>
      <c r="G37" s="15">
        <f>IF(ROUND(E37-D37,2)=0,"MATCH","DIFF")</f>
        <v/>
      </c>
      <c r="H37" s="16">
        <f>ROUND(E37-D37,2)</f>
        <v/>
      </c>
      <c r="I37" s="17" t="inlineStr"/>
    </row>
    <row r="38">
      <c r="A38" s="5" t="inlineStr">
        <is>
          <t>Ticket size local</t>
        </is>
      </c>
      <c r="B38" s="5" t="inlineStr"/>
      <c r="C38" s="14" t="n">
        <v>120</v>
      </c>
      <c r="D38" s="14" t="n">
        <v>120</v>
      </c>
      <c r="E38" s="14" t="n">
        <v>120</v>
      </c>
      <c r="F38" s="15">
        <f>IF(ROUND(E38-C38,2)=0,"MATCH","DIFF")</f>
        <v/>
      </c>
      <c r="G38" s="15">
        <f>IF(ROUND(E38-D38,2)=0,"MATCH","DIFF")</f>
        <v/>
      </c>
      <c r="H38" s="16">
        <f>ROUND(E38-D38,2)</f>
        <v/>
      </c>
      <c r="I38" s="17" t="inlineStr"/>
    </row>
    <row r="39">
      <c r="A39" s="5" t="inlineStr">
        <is>
          <t>Ticket size USD</t>
        </is>
      </c>
      <c r="B39" s="5" t="inlineStr"/>
      <c r="C39" s="14" t="n">
        <v>120</v>
      </c>
      <c r="D39" s="14" t="n">
        <v>120</v>
      </c>
      <c r="E39" s="14" t="n">
        <v>120</v>
      </c>
      <c r="F39" s="15">
        <f>IF(ROUND(E39-C39,2)=0,"MATCH","DIFF")</f>
        <v/>
      </c>
      <c r="G39" s="15">
        <f>IF(ROUND(E39-D39,2)=0,"MATCH","DIFF")</f>
        <v/>
      </c>
      <c r="H39" s="16">
        <f>ROUND(E39-D39,2)</f>
        <v/>
      </c>
      <c r="I39" s="17" t="inlineStr"/>
    </row>
    <row r="40">
      <c r="A40" s="5" t="inlineStr">
        <is>
          <t>AUV (revenue / quantity)</t>
        </is>
      </c>
      <c r="B40" s="5" t="inlineStr"/>
      <c r="C40" s="14" t="n">
        <v>120</v>
      </c>
      <c r="D40" s="14" t="n">
        <v>120</v>
      </c>
      <c r="E40" s="14" t="n">
        <v>120</v>
      </c>
      <c r="F40" s="15">
        <f>IF(ROUND(E40-C40,2)=0,"MATCH","DIFF")</f>
        <v/>
      </c>
      <c r="G40" s="15">
        <f>IF(ROUND(E40-D40,2)=0,"MATCH","DIFF")</f>
        <v/>
      </c>
      <c r="H40" s="16">
        <f>ROUND(E40-D40,2)</f>
        <v/>
      </c>
      <c r="I40" s="17" t="inlineStr">
        <is>
          <t>Same AUV definition note as the hoodie.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15" customWidth="1" min="4" max="4"/>
    <col width="14" customWidth="1" min="5" max="5"/>
    <col width="11" customWidth="1" min="6" max="6"/>
    <col width="13" customWidth="1" min="7" max="7"/>
    <col width="13" customWidth="1" min="8" max="8"/>
    <col width="88" customWidth="1" min="9" max="9"/>
  </cols>
  <sheetData>
    <row r="1">
      <c r="A1" s="11" t="inlineStr">
        <is>
          <t>Channel - QA cross-check (old logic vs new gold_channel_performance)</t>
        </is>
      </c>
    </row>
    <row r="2">
      <c r="A2" s="2" t="inlineStr">
        <is>
          <t>New model values computed in BigQuery from the fable-fabulous-outcome models (read-only, full dependency chain inlined). GA4 UI column ignored as instructed.</t>
        </is>
      </c>
    </row>
    <row r="4">
      <c r="A4" s="12" t="inlineStr">
        <is>
          <t>Metric</t>
        </is>
      </c>
      <c r="B4" s="12" t="inlineStr">
        <is>
          <t>Scope</t>
        </is>
      </c>
      <c r="C4" s="12" t="inlineStr">
        <is>
          <t>QA: Raw Events</t>
        </is>
      </c>
      <c r="D4" s="12" t="inlineStr">
        <is>
          <t>QA: Old Gold Mart</t>
        </is>
      </c>
      <c r="E4" s="12" t="inlineStr">
        <is>
          <t>New Model Value</t>
        </is>
      </c>
      <c r="F4" s="12" t="inlineStr">
        <is>
          <t>Match vs Raw</t>
        </is>
      </c>
      <c r="G4" s="12" t="inlineStr">
        <is>
          <t>Match vs Old Gold</t>
        </is>
      </c>
      <c r="H4" s="12" t="inlineStr">
        <is>
          <t>Delta (New - Old Gold)</t>
        </is>
      </c>
      <c r="I4" s="12" t="inlineStr">
        <is>
          <t>Explanation of difference</t>
        </is>
      </c>
    </row>
    <row r="5">
      <c r="A5" s="13" t="inlineStr">
        <is>
          <t>1. Channel: Direct</t>
        </is>
      </c>
      <c r="B5" s="13" t="inlineStr">
        <is>
          <t>Month: May 2026</t>
        </is>
      </c>
      <c r="C5" s="13" t="n"/>
      <c r="D5" s="13" t="n"/>
      <c r="E5" s="13" t="n"/>
      <c r="F5" s="13" t="n"/>
      <c r="G5" s="13" t="n"/>
      <c r="H5" s="13" t="n"/>
      <c r="I5" s="13" t="n"/>
    </row>
    <row r="6">
      <c r="A6" s="5" t="inlineStr">
        <is>
          <t>Visits (Sessions)</t>
        </is>
      </c>
      <c r="B6" s="5" t="inlineStr"/>
      <c r="C6" s="14" t="n">
        <v>717</v>
      </c>
      <c r="D6" s="14" t="n">
        <v>717</v>
      </c>
      <c r="E6" s="14" t="n">
        <v>717</v>
      </c>
      <c r="F6" s="15">
        <f>IF(ROUND(E6-C6,2)=0,"MATCH","DIFF")</f>
        <v/>
      </c>
      <c r="G6" s="15">
        <f>IF(ROUND(E6-D6,2)=0,"MATCH","DIFF")</f>
        <v/>
      </c>
      <c r="H6" s="16">
        <f>ROUND(E6-D6,2)</f>
        <v/>
      </c>
      <c r="I6" s="17" t="inlineStr"/>
    </row>
    <row r="7">
      <c r="A7" s="5" t="inlineStr">
        <is>
          <t>Unique Visitors (Users)</t>
        </is>
      </c>
      <c r="B7" s="5" t="inlineStr"/>
      <c r="C7" s="14" t="n">
        <v>459</v>
      </c>
      <c r="D7" s="14" t="n">
        <v>459</v>
      </c>
      <c r="E7" s="14" t="n">
        <v>459</v>
      </c>
      <c r="F7" s="15">
        <f>IF(ROUND(E7-C7,2)=0,"MATCH","DIFF")</f>
        <v/>
      </c>
      <c r="G7" s="15">
        <f>IF(ROUND(E7-D7,2)=0,"MATCH","DIFF")</f>
        <v/>
      </c>
      <c r="H7" s="16">
        <f>ROUND(E7-D7,2)</f>
        <v/>
      </c>
      <c r="I7" s="17" t="inlineStr"/>
    </row>
    <row r="8">
      <c r="A8" s="5" t="inlineStr">
        <is>
          <t>Average Time on Site (sec)</t>
        </is>
      </c>
      <c r="B8" s="5" t="inlineStr"/>
      <c r="C8" s="14" t="n">
        <v>552.39</v>
      </c>
      <c r="D8" s="14" t="n">
        <v>552.39</v>
      </c>
      <c r="E8" s="14" t="n">
        <v>552.39</v>
      </c>
      <c r="F8" s="15">
        <f>IF(ROUND(E8-C8,2)=0,"MATCH","DIFF")</f>
        <v/>
      </c>
      <c r="G8" s="15">
        <f>IF(ROUND(E8-D8,2)=0,"MATCH","DIFF")</f>
        <v/>
      </c>
      <c r="H8" s="16">
        <f>ROUND(E8-D8,2)</f>
        <v/>
      </c>
      <c r="I8" s="17" t="inlineStr"/>
    </row>
    <row r="9">
      <c r="A9" s="5" t="inlineStr">
        <is>
          <t>Bounce Rate - 3 conditions (%)</t>
        </is>
      </c>
      <c r="B9" s="5" t="inlineStr"/>
      <c r="C9" s="14" t="n">
        <v>37.8</v>
      </c>
      <c r="D9" s="14" t="n">
        <v>37.8</v>
      </c>
      <c r="E9" s="14" t="n">
        <v>37.8</v>
      </c>
      <c r="F9" s="15">
        <f>IF(ROUND(E9-C9,2)=0,"MATCH","DIFF")</f>
        <v/>
      </c>
      <c r="G9" s="15">
        <f>IF(ROUND(E9-D9,2)=0,"MATCH","DIFF")</f>
        <v/>
      </c>
      <c r="H9" s="16">
        <f>ROUND(E9-D9,2)</f>
        <v/>
      </c>
      <c r="I9" s="17" t="inlineStr">
        <is>
          <t>QA stores 0.378 (fraction); normalised to percent.</t>
        </is>
      </c>
    </row>
    <row r="10">
      <c r="A10" s="5" t="inlineStr">
        <is>
          <t>Bounce Rate - flag (%)</t>
        </is>
      </c>
      <c r="B10" s="5" t="inlineStr"/>
      <c r="C10" s="14" t="n">
        <v>28.45</v>
      </c>
      <c r="D10" s="14" t="n">
        <v>28.45</v>
      </c>
      <c r="E10" s="14" t="n">
        <v>26.5</v>
      </c>
      <c r="F10" s="18">
        <f>IF(ROUND(E10-C10,2)=0,"MATCH","DIFF")</f>
        <v/>
      </c>
      <c r="G10" s="18">
        <f>IF(ROUND(E10-D10,2)=0,"MATCH","DIFF")</f>
        <v/>
      </c>
      <c r="H10" s="19">
        <f>ROUND(E10-D10,2)</f>
        <v/>
      </c>
      <c r="I10" s="17" t="inlineStr">
        <is>
          <t>New model reads session_engaged sent as string AND as int (1,939 events arrive int-typed); the old string-only read missed that engagement, inflating flag-method bounce. The new figure is closer to what GA4 itself measures.</t>
        </is>
      </c>
    </row>
    <row r="11">
      <c r="A11" s="5" t="inlineStr">
        <is>
          <t>Product Views</t>
        </is>
      </c>
      <c r="B11" s="5" t="inlineStr"/>
      <c r="C11" s="14" t="n">
        <v>768</v>
      </c>
      <c r="D11" s="14" t="n">
        <v>768</v>
      </c>
      <c r="E11" s="14" t="n">
        <v>768</v>
      </c>
      <c r="F11" s="15">
        <f>IF(ROUND(E11-C11,2)=0,"MATCH","DIFF")</f>
        <v/>
      </c>
      <c r="G11" s="15">
        <f>IF(ROUND(E11-D11,2)=0,"MATCH","DIFF")</f>
        <v/>
      </c>
      <c r="H11" s="16">
        <f>ROUND(E11-D11,2)</f>
        <v/>
      </c>
      <c r="I11" s="17" t="inlineStr"/>
    </row>
    <row r="12">
      <c r="A12" s="5" t="inlineStr">
        <is>
          <t>Cart Additions</t>
        </is>
      </c>
      <c r="B12" s="5" t="inlineStr"/>
      <c r="C12" s="14" t="n">
        <v>167</v>
      </c>
      <c r="D12" s="14" t="n">
        <v>167</v>
      </c>
      <c r="E12" s="14" t="n">
        <v>167</v>
      </c>
      <c r="F12" s="15">
        <f>IF(ROUND(E12-C12,2)=0,"MATCH","DIFF")</f>
        <v/>
      </c>
      <c r="G12" s="15">
        <f>IF(ROUND(E12-D12,2)=0,"MATCH","DIFF")</f>
        <v/>
      </c>
      <c r="H12" s="16">
        <f>ROUND(E12-D12,2)</f>
        <v/>
      </c>
      <c r="I12" s="17" t="inlineStr"/>
    </row>
    <row r="13">
      <c r="A13" s="5" t="inlineStr">
        <is>
          <t>Orders</t>
        </is>
      </c>
      <c r="B13" s="5" t="inlineStr"/>
      <c r="C13" s="14" t="n">
        <v>25</v>
      </c>
      <c r="D13" s="14" t="n">
        <v>25</v>
      </c>
      <c r="E13" s="14" t="n">
        <v>25</v>
      </c>
      <c r="F13" s="15">
        <f>IF(ROUND(E13-C13,2)=0,"MATCH","DIFF")</f>
        <v/>
      </c>
      <c r="G13" s="15">
        <f>IF(ROUND(E13-D13,2)=0,"MATCH","DIFF")</f>
        <v/>
      </c>
      <c r="H13" s="16">
        <f>ROUND(E13-D13,2)</f>
        <v/>
      </c>
      <c r="I13" s="17" t="inlineStr"/>
    </row>
    <row r="14">
      <c r="A14" s="5" t="inlineStr">
        <is>
          <t>Revenue Local</t>
        </is>
      </c>
      <c r="B14" s="5" t="inlineStr"/>
      <c r="C14" s="14" t="n">
        <v>56.95</v>
      </c>
      <c r="D14" s="14" t="n">
        <v>56.95</v>
      </c>
      <c r="E14" s="14" t="n">
        <v>56.95</v>
      </c>
      <c r="F14" s="15">
        <f>IF(ROUND(E14-C14,2)=0,"MATCH","DIFF")</f>
        <v/>
      </c>
      <c r="G14" s="15">
        <f>IF(ROUND(E14-D14,2)=0,"MATCH","DIFF")</f>
        <v/>
      </c>
      <c r="H14" s="16">
        <f>ROUND(E14-D14,2)</f>
        <v/>
      </c>
      <c r="I14" s="17" t="inlineStr"/>
    </row>
    <row r="15">
      <c r="A15" s="5" t="inlineStr">
        <is>
          <t>Revenue USD</t>
        </is>
      </c>
      <c r="B15" s="5" t="inlineStr"/>
      <c r="C15" s="14" t="n">
        <v>56.95</v>
      </c>
      <c r="D15" s="14" t="n">
        <v>56.95</v>
      </c>
      <c r="E15" s="14" t="n">
        <v>56.95</v>
      </c>
      <c r="F15" s="15">
        <f>IF(ROUND(E15-C15,2)=0,"MATCH","DIFF")</f>
        <v/>
      </c>
      <c r="G15" s="15">
        <f>IF(ROUND(E15-D15,2)=0,"MATCH","DIFF")</f>
        <v/>
      </c>
      <c r="H15" s="16">
        <f>ROUND(E15-D15,2)</f>
        <v/>
      </c>
      <c r="I15" s="17" t="inlineStr"/>
    </row>
    <row r="16">
      <c r="A16" s="5" t="inlineStr">
        <is>
          <t>Conversion Rate %</t>
        </is>
      </c>
      <c r="B16" s="5" t="inlineStr"/>
      <c r="C16" s="14" t="n">
        <v>5.45</v>
      </c>
      <c r="D16" s="14" t="n">
        <v>5.45</v>
      </c>
      <c r="E16" s="14" t="n">
        <v>5.45</v>
      </c>
      <c r="F16" s="15">
        <f>IF(ROUND(E16-C16,2)=0,"MATCH","DIFF")</f>
        <v/>
      </c>
      <c r="G16" s="15">
        <f>IF(ROUND(E16-D16,2)=0,"MATCH","DIFF")</f>
        <v/>
      </c>
      <c r="H16" s="16">
        <f>ROUND(E16-D16,2)</f>
        <v/>
      </c>
      <c r="I16" s="17" t="inlineStr">
        <is>
          <t>New model stores 5.4466 (4 decimals); equal at 2 decimals.</t>
        </is>
      </c>
    </row>
    <row r="17">
      <c r="A17" s="5" t="inlineStr">
        <is>
          <t>Traffic Contribution %</t>
        </is>
      </c>
      <c r="B17" s="5" t="inlineStr"/>
      <c r="C17" s="14" t="n">
        <v>97.45</v>
      </c>
      <c r="D17" s="14" t="n">
        <v>97.45</v>
      </c>
      <c r="E17" s="14" t="n">
        <v>97.45</v>
      </c>
      <c r="F17" s="15">
        <f>IF(ROUND(E17-C17,2)=0,"MATCH","DIFF")</f>
        <v/>
      </c>
      <c r="G17" s="15">
        <f>IF(ROUND(E17-D17,2)=0,"MATCH","DIFF")</f>
        <v/>
      </c>
      <c r="H17" s="16">
        <f>ROUND(E17-D17,2)</f>
        <v/>
      </c>
      <c r="I17" s="17" t="inlineStr"/>
    </row>
    <row r="18">
      <c r="A18" s="5" t="inlineStr">
        <is>
          <t>Order Contribution %</t>
        </is>
      </c>
      <c r="B18" s="5" t="inlineStr"/>
      <c r="C18" s="14" t="n">
        <v>59.52</v>
      </c>
      <c r="D18" s="14" t="n">
        <v>59.52</v>
      </c>
      <c r="E18" s="14" t="n">
        <v>59.52</v>
      </c>
      <c r="F18" s="15">
        <f>IF(ROUND(E18-C18,2)=0,"MATCH","DIFF")</f>
        <v/>
      </c>
      <c r="G18" s="15">
        <f>IF(ROUND(E18-D18,2)=0,"MATCH","DIFF")</f>
        <v/>
      </c>
      <c r="H18" s="16">
        <f>ROUND(E18-D18,2)</f>
        <v/>
      </c>
      <c r="I18" s="17" t="inlineStr"/>
    </row>
    <row r="19">
      <c r="A19" s="5" t="inlineStr">
        <is>
          <t>Ticket Size Local</t>
        </is>
      </c>
      <c r="B19" s="5" t="inlineStr"/>
      <c r="C19" s="14" t="n">
        <v>2.28</v>
      </c>
      <c r="D19" s="14" t="n">
        <v>2.28</v>
      </c>
      <c r="E19" s="14" t="n">
        <v>2.28</v>
      </c>
      <c r="F19" s="15">
        <f>IF(ROUND(E19-C19,2)=0,"MATCH","DIFF")</f>
        <v/>
      </c>
      <c r="G19" s="15">
        <f>IF(ROUND(E19-D19,2)=0,"MATCH","DIFF")</f>
        <v/>
      </c>
      <c r="H19" s="16">
        <f>ROUND(E19-D19,2)</f>
        <v/>
      </c>
      <c r="I19" s="17" t="inlineStr"/>
    </row>
    <row r="20">
      <c r="A20" s="5" t="inlineStr">
        <is>
          <t>Ticket Size USD</t>
        </is>
      </c>
      <c r="B20" s="5" t="inlineStr"/>
      <c r="C20" s="14" t="n">
        <v>2.28</v>
      </c>
      <c r="D20" s="14" t="n">
        <v>2.28</v>
      </c>
      <c r="E20" s="14" t="n">
        <v>2.28</v>
      </c>
      <c r="F20" s="15">
        <f>IF(ROUND(E20-C20,2)=0,"MATCH","DIFF")</f>
        <v/>
      </c>
      <c r="G20" s="15">
        <f>IF(ROUND(E20-D20,2)=0,"MATCH","DIFF")</f>
        <v/>
      </c>
      <c r="H20" s="16">
        <f>ROUND(E20-D20,2)</f>
        <v/>
      </c>
      <c r="I20" s="17" t="inlineStr"/>
    </row>
    <row r="21">
      <c r="A21" s="13" t="inlineStr">
        <is>
          <t>2. Channel: Referral</t>
        </is>
      </c>
      <c r="B21" s="13" t="inlineStr">
        <is>
          <t>Month: May 2026</t>
        </is>
      </c>
      <c r="C21" s="13" t="n"/>
      <c r="D21" s="13" t="n"/>
      <c r="E21" s="13" t="n"/>
      <c r="F21" s="13" t="n"/>
      <c r="G21" s="13" t="n"/>
      <c r="H21" s="13" t="n"/>
      <c r="I21" s="13" t="n"/>
    </row>
    <row r="22">
      <c r="A22" s="5" t="inlineStr">
        <is>
          <t>Visits (Sessions)</t>
        </is>
      </c>
      <c r="B22" s="5" t="inlineStr"/>
      <c r="C22" s="14" t="n">
        <v>220</v>
      </c>
      <c r="D22" s="14" t="n">
        <v>220</v>
      </c>
      <c r="E22" s="14" t="n">
        <v>220</v>
      </c>
      <c r="F22" s="15">
        <f>IF(ROUND(E22-C22,2)=0,"MATCH","DIFF")</f>
        <v/>
      </c>
      <c r="G22" s="15">
        <f>IF(ROUND(E22-D22,2)=0,"MATCH","DIFF")</f>
        <v/>
      </c>
      <c r="H22" s="16">
        <f>ROUND(E22-D22,2)</f>
        <v/>
      </c>
      <c r="I22" s="17" t="inlineStr"/>
    </row>
    <row r="23">
      <c r="A23" s="5" t="inlineStr">
        <is>
          <t>Unique Visitors (Users)</t>
        </is>
      </c>
      <c r="B23" s="5" t="inlineStr"/>
      <c r="C23" s="14" t="n">
        <v>10</v>
      </c>
      <c r="D23" s="14" t="n">
        <v>10</v>
      </c>
      <c r="E23" s="14" t="n">
        <v>10</v>
      </c>
      <c r="F23" s="15">
        <f>IF(ROUND(E23-C23,2)=0,"MATCH","DIFF")</f>
        <v/>
      </c>
      <c r="G23" s="15">
        <f>IF(ROUND(E23-D23,2)=0,"MATCH","DIFF")</f>
        <v/>
      </c>
      <c r="H23" s="16">
        <f>ROUND(E23-D23,2)</f>
        <v/>
      </c>
      <c r="I23" s="17" t="inlineStr"/>
    </row>
    <row r="24">
      <c r="A24" s="5" t="inlineStr">
        <is>
          <t>Average Time on Site (sec)</t>
        </is>
      </c>
      <c r="B24" s="5" t="inlineStr"/>
      <c r="C24" s="14" t="n">
        <v>977.91</v>
      </c>
      <c r="D24" s="14" t="n">
        <v>977.91</v>
      </c>
      <c r="E24" s="14" t="n">
        <v>977.91</v>
      </c>
      <c r="F24" s="15">
        <f>IF(ROUND(E24-C24,2)=0,"MATCH","DIFF")</f>
        <v/>
      </c>
      <c r="G24" s="15">
        <f>IF(ROUND(E24-D24,2)=0,"MATCH","DIFF")</f>
        <v/>
      </c>
      <c r="H24" s="16">
        <f>ROUND(E24-D24,2)</f>
        <v/>
      </c>
      <c r="I24" s="17" t="inlineStr"/>
    </row>
    <row r="25">
      <c r="A25" s="5" t="inlineStr">
        <is>
          <t>Bounce Rate - 3 conditions (%)</t>
        </is>
      </c>
      <c r="B25" s="5" t="inlineStr"/>
      <c r="C25" s="14" t="n">
        <v>23.18</v>
      </c>
      <c r="D25" s="14" t="n">
        <v>23.18</v>
      </c>
      <c r="E25" s="14" t="n">
        <v>23.18</v>
      </c>
      <c r="F25" s="15">
        <f>IF(ROUND(E25-C25,2)=0,"MATCH","DIFF")</f>
        <v/>
      </c>
      <c r="G25" s="15">
        <f>IF(ROUND(E25-D25,2)=0,"MATCH","DIFF")</f>
        <v/>
      </c>
      <c r="H25" s="16">
        <f>ROUND(E25-D25,2)</f>
        <v/>
      </c>
      <c r="I25" s="17" t="inlineStr"/>
    </row>
    <row r="26">
      <c r="A26" s="5" t="inlineStr">
        <is>
          <t>Bounce Rate - flag (%)</t>
        </is>
      </c>
      <c r="B26" s="5" t="inlineStr"/>
      <c r="C26" s="14" t="n">
        <v>19.09</v>
      </c>
      <c r="D26" s="14" t="n">
        <v>19.09</v>
      </c>
      <c r="E26" s="14" t="n">
        <v>15.91</v>
      </c>
      <c r="F26" s="18">
        <f>IF(ROUND(E26-C26,2)=0,"MATCH","DIFF")</f>
        <v/>
      </c>
      <c r="G26" s="18">
        <f>IF(ROUND(E26-D26,2)=0,"MATCH","DIFF")</f>
        <v/>
      </c>
      <c r="H26" s="19">
        <f>ROUND(E26-D26,2)</f>
        <v/>
      </c>
      <c r="I26" s="17" t="inlineStr">
        <is>
          <t>New model reads session_engaged sent as string AND as int (1,939 events arrive int-typed); the old string-only read missed that engagement, inflating flag-method bounce. The new figure is closer to what GA4 itself measures.</t>
        </is>
      </c>
    </row>
    <row r="27">
      <c r="A27" s="5" t="inlineStr">
        <is>
          <t>Product Views</t>
        </is>
      </c>
      <c r="B27" s="5" t="inlineStr"/>
      <c r="C27" s="14" t="n">
        <v>478</v>
      </c>
      <c r="D27" s="14" t="n">
        <v>478</v>
      </c>
      <c r="E27" s="14" t="n">
        <v>478</v>
      </c>
      <c r="F27" s="15">
        <f>IF(ROUND(E27-C27,2)=0,"MATCH","DIFF")</f>
        <v/>
      </c>
      <c r="G27" s="15">
        <f>IF(ROUND(E27-D27,2)=0,"MATCH","DIFF")</f>
        <v/>
      </c>
      <c r="H27" s="16">
        <f>ROUND(E27-D27,2)</f>
        <v/>
      </c>
      <c r="I27" s="17" t="inlineStr"/>
    </row>
    <row r="28">
      <c r="A28" s="5" t="inlineStr">
        <is>
          <t>Cart Additions</t>
        </is>
      </c>
      <c r="B28" s="5" t="inlineStr"/>
      <c r="C28" s="14" t="n">
        <v>70</v>
      </c>
      <c r="D28" s="14" t="n">
        <v>70</v>
      </c>
      <c r="E28" s="14" t="n">
        <v>70</v>
      </c>
      <c r="F28" s="15">
        <f>IF(ROUND(E28-C28,2)=0,"MATCH","DIFF")</f>
        <v/>
      </c>
      <c r="G28" s="15">
        <f>IF(ROUND(E28-D28,2)=0,"MATCH","DIFF")</f>
        <v/>
      </c>
      <c r="H28" s="16">
        <f>ROUND(E28-D28,2)</f>
        <v/>
      </c>
      <c r="I28" s="17" t="inlineStr"/>
    </row>
    <row r="29">
      <c r="A29" s="5" t="inlineStr">
        <is>
          <t>Orders</t>
        </is>
      </c>
      <c r="B29" s="5" t="inlineStr"/>
      <c r="C29" s="14" t="n">
        <v>17</v>
      </c>
      <c r="D29" s="14" t="n">
        <v>17</v>
      </c>
      <c r="E29" s="14" t="n">
        <v>17</v>
      </c>
      <c r="F29" s="15">
        <f>IF(ROUND(E29-C29,2)=0,"MATCH","DIFF")</f>
        <v/>
      </c>
      <c r="G29" s="15">
        <f>IF(ROUND(E29-D29,2)=0,"MATCH","DIFF")</f>
        <v/>
      </c>
      <c r="H29" s="16">
        <f>ROUND(E29-D29,2)</f>
        <v/>
      </c>
      <c r="I29" s="17" t="inlineStr"/>
    </row>
    <row r="30">
      <c r="A30" s="5" t="inlineStr">
        <is>
          <t>Revenue Local</t>
        </is>
      </c>
      <c r="B30" s="5" t="inlineStr"/>
      <c r="C30" s="14" t="n">
        <v>0</v>
      </c>
      <c r="D30" s="14" t="n">
        <v>0</v>
      </c>
      <c r="E30" s="14" t="n">
        <v>0</v>
      </c>
      <c r="F30" s="15">
        <f>IF(ROUND(E30-C30,2)=0,"MATCH","DIFF")</f>
        <v/>
      </c>
      <c r="G30" s="15">
        <f>IF(ROUND(E30-D30,2)=0,"MATCH","DIFF")</f>
        <v/>
      </c>
      <c r="H30" s="16">
        <f>ROUND(E30-D30,2)</f>
        <v/>
      </c>
      <c r="I30" s="17" t="inlineStr"/>
    </row>
    <row r="31">
      <c r="A31" s="5" t="inlineStr">
        <is>
          <t>Revenue USD</t>
        </is>
      </c>
      <c r="B31" s="5" t="inlineStr"/>
      <c r="C31" s="14" t="n">
        <v>0</v>
      </c>
      <c r="D31" s="14" t="n">
        <v>0</v>
      </c>
      <c r="E31" s="14" t="n">
        <v>0</v>
      </c>
      <c r="F31" s="15">
        <f>IF(ROUND(E31-C31,2)=0,"MATCH","DIFF")</f>
        <v/>
      </c>
      <c r="G31" s="15">
        <f>IF(ROUND(E31-D31,2)=0,"MATCH","DIFF")</f>
        <v/>
      </c>
      <c r="H31" s="16">
        <f>ROUND(E31-D31,2)</f>
        <v/>
      </c>
      <c r="I31" s="17" t="inlineStr"/>
    </row>
    <row r="32">
      <c r="A32" s="5" t="inlineStr">
        <is>
          <t>Conversion Rate %</t>
        </is>
      </c>
      <c r="B32" s="5" t="inlineStr"/>
      <c r="C32" s="14" t="n">
        <v>170</v>
      </c>
      <c r="D32" s="14" t="n">
        <v>170</v>
      </c>
      <c r="E32" s="14" t="n">
        <v>170</v>
      </c>
      <c r="F32" s="15">
        <f>IF(ROUND(E32-C32,2)=0,"MATCH","DIFF")</f>
        <v/>
      </c>
      <c r="G32" s="15">
        <f>IF(ROUND(E32-D32,2)=0,"MATCH","DIFF")</f>
        <v/>
      </c>
      <c r="H32" s="16">
        <f>ROUND(E32-D32,2)</f>
        <v/>
      </c>
      <c r="I32" s="17" t="inlineStr">
        <is>
          <t>QA stores 1.7 (fraction); normalised. 10 users placing 17 orders - over 100% is real on this tiny base.</t>
        </is>
      </c>
    </row>
    <row r="33">
      <c r="A33" s="5" t="inlineStr">
        <is>
          <t>Traffic Contribution %</t>
        </is>
      </c>
      <c r="B33" s="5" t="inlineStr"/>
      <c r="C33" s="14" t="n">
        <v>2.12</v>
      </c>
      <c r="D33" s="14" t="n">
        <v>2.12</v>
      </c>
      <c r="E33" s="14" t="n">
        <v>2.12</v>
      </c>
      <c r="F33" s="15">
        <f>IF(ROUND(E33-C33,2)=0,"MATCH","DIFF")</f>
        <v/>
      </c>
      <c r="G33" s="15">
        <f>IF(ROUND(E33-D33,2)=0,"MATCH","DIFF")</f>
        <v/>
      </c>
      <c r="H33" s="16">
        <f>ROUND(E33-D33,2)</f>
        <v/>
      </c>
      <c r="I33" s="17" t="inlineStr"/>
    </row>
    <row r="34">
      <c r="A34" s="5" t="inlineStr">
        <is>
          <t>Order Contribution %</t>
        </is>
      </c>
      <c r="B34" s="5" t="inlineStr"/>
      <c r="C34" s="14" t="n">
        <v>40.48</v>
      </c>
      <c r="D34" s="14" t="n">
        <v>40.48</v>
      </c>
      <c r="E34" s="14" t="n">
        <v>40.48</v>
      </c>
      <c r="F34" s="15">
        <f>IF(ROUND(E34-C34,2)=0,"MATCH","DIFF")</f>
        <v/>
      </c>
      <c r="G34" s="15">
        <f>IF(ROUND(E34-D34,2)=0,"MATCH","DIFF")</f>
        <v/>
      </c>
      <c r="H34" s="16">
        <f>ROUND(E34-D34,2)</f>
        <v/>
      </c>
      <c r="I34" s="17" t="inlineStr"/>
    </row>
    <row r="35">
      <c r="A35" s="5" t="inlineStr">
        <is>
          <t>Ticket Size Local</t>
        </is>
      </c>
      <c r="B35" s="5" t="inlineStr"/>
      <c r="C35" s="14" t="n">
        <v>0</v>
      </c>
      <c r="D35" s="14" t="n">
        <v>0</v>
      </c>
      <c r="E35" s="14" t="n">
        <v>0</v>
      </c>
      <c r="F35" s="15">
        <f>IF(ROUND(E35-C35,2)=0,"MATCH","DIFF")</f>
        <v/>
      </c>
      <c r="G35" s="15">
        <f>IF(ROUND(E35-D35,2)=0,"MATCH","DIFF")</f>
        <v/>
      </c>
      <c r="H35" s="16">
        <f>ROUND(E35-D35,2)</f>
        <v/>
      </c>
      <c r="I35" s="17" t="inlineStr"/>
    </row>
    <row r="36">
      <c r="A36" s="5" t="inlineStr">
        <is>
          <t>Ticket Size USD</t>
        </is>
      </c>
      <c r="B36" s="5" t="inlineStr"/>
      <c r="C36" s="14" t="n">
        <v>0</v>
      </c>
      <c r="D36" s="14" t="n">
        <v>0</v>
      </c>
      <c r="E36" s="14" t="n">
        <v>0</v>
      </c>
      <c r="F36" s="15">
        <f>IF(ROUND(E36-C36,2)=0,"MATCH","DIFF")</f>
        <v/>
      </c>
      <c r="G36" s="15">
        <f>IF(ROUND(E36-D36,2)=0,"MATCH","DIFF")</f>
        <v/>
      </c>
      <c r="H36" s="16">
        <f>ROUND(E36-D36,2)</f>
        <v/>
      </c>
      <c r="I36" s="17" t="inlineStr"/>
    </row>
    <row r="37">
      <c r="A37" s="13" t="inlineStr">
        <is>
          <t>3. Channel: Organic (Search)</t>
        </is>
      </c>
      <c r="B37" s="13" t="inlineStr">
        <is>
          <t>Month: May 2026</t>
        </is>
      </c>
      <c r="C37" s="13" t="n"/>
      <c r="D37" s="13" t="n"/>
      <c r="E37" s="13" t="n"/>
      <c r="F37" s="13" t="n"/>
      <c r="G37" s="13" t="n"/>
      <c r="H37" s="13" t="n"/>
      <c r="I37" s="13" t="n"/>
    </row>
    <row r="38">
      <c r="A38" s="5" t="inlineStr">
        <is>
          <t>Visits (Sessions)</t>
        </is>
      </c>
      <c r="B38" s="5" t="inlineStr"/>
      <c r="C38" s="14" t="n">
        <v>11</v>
      </c>
      <c r="D38" s="14" t="n">
        <v>11</v>
      </c>
      <c r="E38" s="14" t="n">
        <v>11</v>
      </c>
      <c r="F38" s="15">
        <f>IF(ROUND(E38-C38,2)=0,"MATCH","DIFF")</f>
        <v/>
      </c>
      <c r="G38" s="15">
        <f>IF(ROUND(E38-D38,2)=0,"MATCH","DIFF")</f>
        <v/>
      </c>
      <c r="H38" s="16">
        <f>ROUND(E38-D38,2)</f>
        <v/>
      </c>
      <c r="I38" s="17" t="inlineStr"/>
    </row>
    <row r="39">
      <c r="A39" s="5" t="inlineStr">
        <is>
          <t>Unique Visitors (Users)</t>
        </is>
      </c>
      <c r="B39" s="5" t="inlineStr"/>
      <c r="C39" s="14" t="n">
        <v>1</v>
      </c>
      <c r="D39" s="14" t="n">
        <v>1</v>
      </c>
      <c r="E39" s="14" t="n">
        <v>1</v>
      </c>
      <c r="F39" s="15">
        <f>IF(ROUND(E39-C39,2)=0,"MATCH","DIFF")</f>
        <v/>
      </c>
      <c r="G39" s="15">
        <f>IF(ROUND(E39-D39,2)=0,"MATCH","DIFF")</f>
        <v/>
      </c>
      <c r="H39" s="16">
        <f>ROUND(E39-D39,2)</f>
        <v/>
      </c>
      <c r="I39" s="17" t="inlineStr"/>
    </row>
    <row r="40">
      <c r="A40" s="5" t="inlineStr">
        <is>
          <t>Average Time on Site (sec)</t>
        </is>
      </c>
      <c r="B40" s="5" t="inlineStr"/>
      <c r="C40" s="14" t="n">
        <v>1078.18</v>
      </c>
      <c r="D40" s="14" t="n">
        <v>1078.18</v>
      </c>
      <c r="E40" s="14" t="n">
        <v>1078.18</v>
      </c>
      <c r="F40" s="15">
        <f>IF(ROUND(E40-C40,2)=0,"MATCH","DIFF")</f>
        <v/>
      </c>
      <c r="G40" s="15">
        <f>IF(ROUND(E40-D40,2)=0,"MATCH","DIFF")</f>
        <v/>
      </c>
      <c r="H40" s="16">
        <f>ROUND(E40-D40,2)</f>
        <v/>
      </c>
      <c r="I40" s="17" t="inlineStr"/>
    </row>
    <row r="41">
      <c r="A41" s="5" t="inlineStr">
        <is>
          <t>Bounce Rate - 3 conditions (%)</t>
        </is>
      </c>
      <c r="B41" s="5" t="inlineStr"/>
      <c r="C41" s="14" t="n">
        <v>36.36</v>
      </c>
      <c r="D41" s="14" t="n">
        <v>36.36</v>
      </c>
      <c r="E41" s="14" t="n">
        <v>36.36</v>
      </c>
      <c r="F41" s="15">
        <f>IF(ROUND(E41-C41,2)=0,"MATCH","DIFF")</f>
        <v/>
      </c>
      <c r="G41" s="15">
        <f>IF(ROUND(E41-D41,2)=0,"MATCH","DIFF")</f>
        <v/>
      </c>
      <c r="H41" s="16">
        <f>ROUND(E41-D41,2)</f>
        <v/>
      </c>
      <c r="I41" s="17" t="inlineStr"/>
    </row>
    <row r="42">
      <c r="A42" s="5" t="inlineStr">
        <is>
          <t>Bounce Rate - flag (%)</t>
        </is>
      </c>
      <c r="B42" s="5" t="inlineStr"/>
      <c r="C42" s="14" t="n">
        <v>9.09</v>
      </c>
      <c r="D42" s="14" t="n">
        <v>9.09</v>
      </c>
      <c r="E42" s="14" t="n">
        <v>9.09</v>
      </c>
      <c r="F42" s="15">
        <f>IF(ROUND(E42-C42,2)=0,"MATCH","DIFF")</f>
        <v/>
      </c>
      <c r="G42" s="15">
        <f>IF(ROUND(E42-D42,2)=0,"MATCH","DIFF")</f>
        <v/>
      </c>
      <c r="H42" s="16">
        <f>ROUND(E42-D42,2)</f>
        <v/>
      </c>
      <c r="I42" s="17" t="inlineStr"/>
    </row>
    <row r="43">
      <c r="A43" s="5" t="inlineStr">
        <is>
          <t>Product Views</t>
        </is>
      </c>
      <c r="B43" s="5" t="inlineStr"/>
      <c r="C43" s="14" t="n">
        <v>58</v>
      </c>
      <c r="D43" s="14" t="n">
        <v>58</v>
      </c>
      <c r="E43" s="14" t="n">
        <v>58</v>
      </c>
      <c r="F43" s="15">
        <f>IF(ROUND(E43-C43,2)=0,"MATCH","DIFF")</f>
        <v/>
      </c>
      <c r="G43" s="15">
        <f>IF(ROUND(E43-D43,2)=0,"MATCH","DIFF")</f>
        <v/>
      </c>
      <c r="H43" s="16">
        <f>ROUND(E43-D43,2)</f>
        <v/>
      </c>
      <c r="I43" s="17" t="inlineStr"/>
    </row>
    <row r="44">
      <c r="A44" s="5" t="inlineStr">
        <is>
          <t>Cart Additions</t>
        </is>
      </c>
      <c r="B44" s="5" t="inlineStr"/>
      <c r="C44" s="14" t="n">
        <v>14</v>
      </c>
      <c r="D44" s="14" t="n">
        <v>14</v>
      </c>
      <c r="E44" s="14" t="n">
        <v>14</v>
      </c>
      <c r="F44" s="15">
        <f>IF(ROUND(E44-C44,2)=0,"MATCH","DIFF")</f>
        <v/>
      </c>
      <c r="G44" s="15">
        <f>IF(ROUND(E44-D44,2)=0,"MATCH","DIFF")</f>
        <v/>
      </c>
      <c r="H44" s="16">
        <f>ROUND(E44-D44,2)</f>
        <v/>
      </c>
      <c r="I44" s="17" t="inlineStr"/>
    </row>
    <row r="45">
      <c r="A45" s="5" t="inlineStr">
        <is>
          <t>Orders</t>
        </is>
      </c>
      <c r="B45" s="5" t="inlineStr"/>
      <c r="C45" s="14" t="n">
        <v>0</v>
      </c>
      <c r="D45" s="14" t="n">
        <v>0</v>
      </c>
      <c r="E45" s="14" t="n">
        <v>0</v>
      </c>
      <c r="F45" s="15">
        <f>IF(ROUND(E45-C45,2)=0,"MATCH","DIFF")</f>
        <v/>
      </c>
      <c r="G45" s="15">
        <f>IF(ROUND(E45-D45,2)=0,"MATCH","DIFF")</f>
        <v/>
      </c>
      <c r="H45" s="16">
        <f>ROUND(E45-D45,2)</f>
        <v/>
      </c>
      <c r="I45" s="17" t="inlineStr"/>
    </row>
    <row r="46">
      <c r="A46" s="5" t="inlineStr">
        <is>
          <t>Revenue Local</t>
        </is>
      </c>
      <c r="B46" s="5" t="inlineStr"/>
      <c r="C46" s="14" t="n">
        <v>0</v>
      </c>
      <c r="D46" s="14" t="n">
        <v>0</v>
      </c>
      <c r="E46" s="14" t="n">
        <v>0</v>
      </c>
      <c r="F46" s="15">
        <f>IF(ROUND(E46-C46,2)=0,"MATCH","DIFF")</f>
        <v/>
      </c>
      <c r="G46" s="15">
        <f>IF(ROUND(E46-D46,2)=0,"MATCH","DIFF")</f>
        <v/>
      </c>
      <c r="H46" s="16">
        <f>ROUND(E46-D46,2)</f>
        <v/>
      </c>
      <c r="I46" s="17" t="inlineStr"/>
    </row>
    <row r="47">
      <c r="A47" s="5" t="inlineStr">
        <is>
          <t>Revenue USD</t>
        </is>
      </c>
      <c r="B47" s="5" t="inlineStr"/>
      <c r="C47" s="14" t="n">
        <v>0</v>
      </c>
      <c r="D47" s="14" t="n">
        <v>0</v>
      </c>
      <c r="E47" s="14" t="n">
        <v>0</v>
      </c>
      <c r="F47" s="15">
        <f>IF(ROUND(E47-C47,2)=0,"MATCH","DIFF")</f>
        <v/>
      </c>
      <c r="G47" s="15">
        <f>IF(ROUND(E47-D47,2)=0,"MATCH","DIFF")</f>
        <v/>
      </c>
      <c r="H47" s="16">
        <f>ROUND(E47-D47,2)</f>
        <v/>
      </c>
      <c r="I47" s="17" t="inlineStr"/>
    </row>
    <row r="48">
      <c r="A48" s="5" t="inlineStr">
        <is>
          <t>Conversion Rate %</t>
        </is>
      </c>
      <c r="B48" s="5" t="inlineStr"/>
      <c r="C48" s="14" t="n">
        <v>0</v>
      </c>
      <c r="D48" s="14" t="n">
        <v>0</v>
      </c>
      <c r="E48" s="14" t="n">
        <v>0</v>
      </c>
      <c r="F48" s="15">
        <f>IF(ROUND(E48-C48,2)=0,"MATCH","DIFF")</f>
        <v/>
      </c>
      <c r="G48" s="15">
        <f>IF(ROUND(E48-D48,2)=0,"MATCH","DIFF")</f>
        <v/>
      </c>
      <c r="H48" s="16">
        <f>ROUND(E48-D48,2)</f>
        <v/>
      </c>
      <c r="I48" s="17" t="inlineStr"/>
    </row>
    <row r="49">
      <c r="A49" s="5" t="inlineStr">
        <is>
          <t>Traffic Contribution %</t>
        </is>
      </c>
      <c r="B49" s="5" t="inlineStr"/>
      <c r="C49" s="14" t="n">
        <v>0.21</v>
      </c>
      <c r="D49" s="14" t="n">
        <v>0.21</v>
      </c>
      <c r="E49" s="14" t="n">
        <v>0.21</v>
      </c>
      <c r="F49" s="15">
        <f>IF(ROUND(E49-C49,2)=0,"MATCH","DIFF")</f>
        <v/>
      </c>
      <c r="G49" s="15">
        <f>IF(ROUND(E49-D49,2)=0,"MATCH","DIFF")</f>
        <v/>
      </c>
      <c r="H49" s="16">
        <f>ROUND(E49-D49,2)</f>
        <v/>
      </c>
      <c r="I49" s="17" t="inlineStr"/>
    </row>
    <row r="50">
      <c r="A50" s="5" t="inlineStr">
        <is>
          <t>Order Contribution %</t>
        </is>
      </c>
      <c r="B50" s="5" t="inlineStr"/>
      <c r="C50" s="14" t="n">
        <v>0</v>
      </c>
      <c r="D50" s="14" t="n">
        <v>0</v>
      </c>
      <c r="E50" s="14" t="n">
        <v>0</v>
      </c>
      <c r="F50" s="15">
        <f>IF(ROUND(E50-C50,2)=0,"MATCH","DIFF")</f>
        <v/>
      </c>
      <c r="G50" s="15">
        <f>IF(ROUND(E50-D50,2)=0,"MATCH","DIFF")</f>
        <v/>
      </c>
      <c r="H50" s="16">
        <f>ROUND(E50-D50,2)</f>
        <v/>
      </c>
      <c r="I50" s="17" t="inlineStr"/>
    </row>
    <row r="51">
      <c r="A51" s="13" t="inlineStr">
        <is>
          <t>4. Channel: Unassigned</t>
        </is>
      </c>
      <c r="B51" s="13" t="inlineStr">
        <is>
          <t>Month: May 2026</t>
        </is>
      </c>
      <c r="C51" s="13" t="n"/>
      <c r="D51" s="13" t="n"/>
      <c r="E51" s="13" t="n"/>
      <c r="F51" s="13" t="n"/>
      <c r="G51" s="13" t="n"/>
      <c r="H51" s="13" t="n"/>
      <c r="I51" s="13" t="n"/>
    </row>
    <row r="52">
      <c r="A52" s="5" t="inlineStr">
        <is>
          <t>Visits (Sessions)</t>
        </is>
      </c>
      <c r="B52" s="5" t="inlineStr"/>
      <c r="C52" s="14" t="n">
        <v>1</v>
      </c>
      <c r="D52" s="14" t="n">
        <v>1</v>
      </c>
      <c r="E52" s="14" t="n">
        <v>1</v>
      </c>
      <c r="F52" s="15">
        <f>IF(ROUND(E52-C52,2)=0,"MATCH","DIFF")</f>
        <v/>
      </c>
      <c r="G52" s="15">
        <f>IF(ROUND(E52-D52,2)=0,"MATCH","DIFF")</f>
        <v/>
      </c>
      <c r="H52" s="16">
        <f>ROUND(E52-D52,2)</f>
        <v/>
      </c>
      <c r="I52" s="17" t="inlineStr"/>
    </row>
    <row r="53">
      <c r="A53" s="5" t="inlineStr">
        <is>
          <t>Unique Visitors (Users)</t>
        </is>
      </c>
      <c r="B53" s="5" t="inlineStr"/>
      <c r="C53" s="14" t="n">
        <v>1</v>
      </c>
      <c r="D53" s="14" t="n">
        <v>1</v>
      </c>
      <c r="E53" s="14" t="n">
        <v>1</v>
      </c>
      <c r="F53" s="15">
        <f>IF(ROUND(E53-C53,2)=0,"MATCH","DIFF")</f>
        <v/>
      </c>
      <c r="G53" s="15">
        <f>IF(ROUND(E53-D53,2)=0,"MATCH","DIFF")</f>
        <v/>
      </c>
      <c r="H53" s="16">
        <f>ROUND(E53-D53,2)</f>
        <v/>
      </c>
      <c r="I53" s="17" t="inlineStr"/>
    </row>
    <row r="54">
      <c r="A54" s="5" t="inlineStr">
        <is>
          <t>Average Time on Site (sec)</t>
        </is>
      </c>
      <c r="B54" s="5" t="inlineStr"/>
      <c r="C54" s="14" t="n">
        <v>6</v>
      </c>
      <c r="D54" s="14" t="n">
        <v>6</v>
      </c>
      <c r="E54" s="14" t="n">
        <v>6</v>
      </c>
      <c r="F54" s="15">
        <f>IF(ROUND(E54-C54,2)=0,"MATCH","DIFF")</f>
        <v/>
      </c>
      <c r="G54" s="15">
        <f>IF(ROUND(E54-D54,2)=0,"MATCH","DIFF")</f>
        <v/>
      </c>
      <c r="H54" s="16">
        <f>ROUND(E54-D54,2)</f>
        <v/>
      </c>
      <c r="I54" s="17" t="inlineStr"/>
    </row>
    <row r="55">
      <c r="A55" s="5" t="inlineStr">
        <is>
          <t>Bounce Rate - 3 conditions (%)</t>
        </is>
      </c>
      <c r="B55" s="5" t="inlineStr"/>
      <c r="C55" s="14" t="n">
        <v>0</v>
      </c>
      <c r="D55" s="14" t="n">
        <v>0</v>
      </c>
      <c r="E55" s="14" t="n">
        <v>0</v>
      </c>
      <c r="F55" s="15">
        <f>IF(ROUND(E55-C55,2)=0,"MATCH","DIFF")</f>
        <v/>
      </c>
      <c r="G55" s="15">
        <f>IF(ROUND(E55-D55,2)=0,"MATCH","DIFF")</f>
        <v/>
      </c>
      <c r="H55" s="16">
        <f>ROUND(E55-D55,2)</f>
        <v/>
      </c>
      <c r="I55" s="17" t="inlineStr"/>
    </row>
    <row r="56">
      <c r="A56" s="5" t="inlineStr">
        <is>
          <t>Bounce Rate - flag (%)</t>
        </is>
      </c>
      <c r="B56" s="5" t="inlineStr"/>
      <c r="C56" s="14" t="n">
        <v>0</v>
      </c>
      <c r="D56" s="14" t="n">
        <v>0</v>
      </c>
      <c r="E56" s="14" t="n">
        <v>0</v>
      </c>
      <c r="F56" s="15">
        <f>IF(ROUND(E56-C56,2)=0,"MATCH","DIFF")</f>
        <v/>
      </c>
      <c r="G56" s="15">
        <f>IF(ROUND(E56-D56,2)=0,"MATCH","DIFF")</f>
        <v/>
      </c>
      <c r="H56" s="16">
        <f>ROUND(E56-D56,2)</f>
        <v/>
      </c>
      <c r="I56" s="17" t="inlineStr"/>
    </row>
    <row r="57">
      <c r="A57" s="5" t="inlineStr">
        <is>
          <t>Product Views</t>
        </is>
      </c>
      <c r="B57" s="5" t="inlineStr"/>
      <c r="C57" s="14" t="n">
        <v>0</v>
      </c>
      <c r="D57" s="14" t="n">
        <v>0</v>
      </c>
      <c r="E57" s="14" t="n">
        <v>0</v>
      </c>
      <c r="F57" s="15">
        <f>IF(ROUND(E57-C57,2)=0,"MATCH","DIFF")</f>
        <v/>
      </c>
      <c r="G57" s="15">
        <f>IF(ROUND(E57-D57,2)=0,"MATCH","DIFF")</f>
        <v/>
      </c>
      <c r="H57" s="16">
        <f>ROUND(E57-D57,2)</f>
        <v/>
      </c>
      <c r="I57" s="17" t="inlineStr"/>
    </row>
    <row r="58">
      <c r="A58" s="5" t="inlineStr">
        <is>
          <t>Cart Additions</t>
        </is>
      </c>
      <c r="B58" s="5" t="inlineStr"/>
      <c r="C58" s="14" t="n">
        <v>0</v>
      </c>
      <c r="D58" s="14" t="n">
        <v>0</v>
      </c>
      <c r="E58" s="14" t="n">
        <v>0</v>
      </c>
      <c r="F58" s="15">
        <f>IF(ROUND(E58-C58,2)=0,"MATCH","DIFF")</f>
        <v/>
      </c>
      <c r="G58" s="15">
        <f>IF(ROUND(E58-D58,2)=0,"MATCH","DIFF")</f>
        <v/>
      </c>
      <c r="H58" s="16">
        <f>ROUND(E58-D58,2)</f>
        <v/>
      </c>
      <c r="I58" s="17" t="inlineStr"/>
    </row>
    <row r="59">
      <c r="A59" s="5" t="inlineStr">
        <is>
          <t>Orders</t>
        </is>
      </c>
      <c r="B59" s="5" t="inlineStr"/>
      <c r="C59" s="14" t="n">
        <v>0</v>
      </c>
      <c r="D59" s="14" t="n">
        <v>0</v>
      </c>
      <c r="E59" s="14" t="n">
        <v>0</v>
      </c>
      <c r="F59" s="15">
        <f>IF(ROUND(E59-C59,2)=0,"MATCH","DIFF")</f>
        <v/>
      </c>
      <c r="G59" s="15">
        <f>IF(ROUND(E59-D59,2)=0,"MATCH","DIFF")</f>
        <v/>
      </c>
      <c r="H59" s="16">
        <f>ROUND(E59-D59,2)</f>
        <v/>
      </c>
      <c r="I59" s="17" t="inlineStr"/>
    </row>
    <row r="60">
      <c r="A60" s="5" t="inlineStr">
        <is>
          <t>Revenue Local</t>
        </is>
      </c>
      <c r="B60" s="5" t="inlineStr"/>
      <c r="C60" s="14" t="n">
        <v>0</v>
      </c>
      <c r="D60" s="14" t="n">
        <v>0</v>
      </c>
      <c r="E60" s="14" t="n">
        <v>0</v>
      </c>
      <c r="F60" s="15">
        <f>IF(ROUND(E60-C60,2)=0,"MATCH","DIFF")</f>
        <v/>
      </c>
      <c r="G60" s="15">
        <f>IF(ROUND(E60-D60,2)=0,"MATCH","DIFF")</f>
        <v/>
      </c>
      <c r="H60" s="16">
        <f>ROUND(E60-D60,2)</f>
        <v/>
      </c>
      <c r="I60" s="17" t="inlineStr"/>
    </row>
    <row r="61">
      <c r="A61" s="5" t="inlineStr">
        <is>
          <t>Revenue USD</t>
        </is>
      </c>
      <c r="B61" s="5" t="inlineStr"/>
      <c r="C61" s="14" t="n">
        <v>0</v>
      </c>
      <c r="D61" s="14" t="n">
        <v>0</v>
      </c>
      <c r="E61" s="14" t="n">
        <v>0</v>
      </c>
      <c r="F61" s="15">
        <f>IF(ROUND(E61-C61,2)=0,"MATCH","DIFF")</f>
        <v/>
      </c>
      <c r="G61" s="15">
        <f>IF(ROUND(E61-D61,2)=0,"MATCH","DIFF")</f>
        <v/>
      </c>
      <c r="H61" s="16">
        <f>ROUND(E61-D61,2)</f>
        <v/>
      </c>
      <c r="I61" s="17" t="inlineStr"/>
    </row>
    <row r="62">
      <c r="A62" s="5" t="inlineStr">
        <is>
          <t>Traffic Contribution %</t>
        </is>
      </c>
      <c r="B62" s="5" t="inlineStr"/>
      <c r="C62" s="14" t="n">
        <v>0.21</v>
      </c>
      <c r="D62" s="14" t="n">
        <v>0.21</v>
      </c>
      <c r="E62" s="14" t="n">
        <v>0.21</v>
      </c>
      <c r="F62" s="15">
        <f>IF(ROUND(E62-C62,2)=0,"MATCH","DIFF")</f>
        <v/>
      </c>
      <c r="G62" s="15">
        <f>IF(ROUND(E62-D62,2)=0,"MATCH","DIFF")</f>
        <v/>
      </c>
      <c r="H62" s="16">
        <f>ROUND(E62-D62,2)</f>
        <v/>
      </c>
      <c r="I62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2026-06-11T17:08:58Z</dcterms:created>
  <dcterms:modified xmlns:dcterms="http://purl.org/dc/terms/" xmlns:xsi="http://www.w3.org/2001/XMLSchema-instance" xsi:type="dcterms:W3CDTF">2026-06-11T17:08:58Z</dcterms:modified>
</cp:coreProperties>
</file>